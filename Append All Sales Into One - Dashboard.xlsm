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hidePivotFieldList="1" defaultThemeVersion="124226"/>
  <mc:AlternateContent xmlns:mc="http://schemas.openxmlformats.org/markup-compatibility/2006">
    <mc:Choice Requires="x15">
      <x15ac:absPath xmlns:x15ac="http://schemas.microsoft.com/office/spreadsheetml/2010/11/ac" url="C:\Users\Acer\Downloads\Project03-BI348\"/>
    </mc:Choice>
  </mc:AlternateContent>
  <xr:revisionPtr revIDLastSave="0" documentId="13_ncr:1_{D12A5982-B90E-4299-98F1-DA42251004A4}" xr6:coauthVersionLast="47" xr6:coauthVersionMax="47" xr10:uidLastSave="{00000000-0000-0000-0000-000000000000}"/>
  <bookViews>
    <workbookView xWindow="-108" yWindow="-108" windowWidth="23256" windowHeight="12576" firstSheet="1" activeTab="2" xr2:uid="{00000000-000D-0000-FFFF-FFFF00000000}"/>
  </bookViews>
  <sheets>
    <sheet name="Score" sheetId="4" state="veryHidden" r:id="rId1"/>
    <sheet name="Build Dashboard" sheetId="30" r:id="rId2"/>
    <sheet name="Dashboard" sheetId="3" r:id="rId3"/>
    <sheet name="Sheet Names" sheetId="29" state="hidden" r:id="rId4"/>
    <sheet name="19(1)" sheetId="5" r:id="rId5"/>
    <sheet name="19(2)" sheetId="6" r:id="rId6"/>
    <sheet name="19(3)" sheetId="7" r:id="rId7"/>
    <sheet name="19(4)" sheetId="8" r:id="rId8"/>
    <sheet name="19(5)" sheetId="9" r:id="rId9"/>
    <sheet name="19(6)" sheetId="10" r:id="rId10"/>
    <sheet name="19(7)" sheetId="11" r:id="rId11"/>
    <sheet name="19(8)" sheetId="12" r:id="rId12"/>
    <sheet name="19(9)" sheetId="13" r:id="rId13"/>
    <sheet name="19(10)" sheetId="14" r:id="rId14"/>
    <sheet name="19(11)" sheetId="15" r:id="rId15"/>
    <sheet name="19(12)" sheetId="16" r:id="rId16"/>
    <sheet name="20(1)" sheetId="17" r:id="rId17"/>
    <sheet name="20(2)" sheetId="18" r:id="rId18"/>
    <sheet name="20(3)" sheetId="19" r:id="rId19"/>
    <sheet name="20(4)" sheetId="20" r:id="rId20"/>
    <sheet name="20(5)" sheetId="21" r:id="rId21"/>
    <sheet name="20(6)" sheetId="22" r:id="rId22"/>
    <sheet name="20(7)" sheetId="23" r:id="rId23"/>
    <sheet name="20(8)" sheetId="24" r:id="rId24"/>
    <sheet name="20(9)" sheetId="25" r:id="rId25"/>
    <sheet name="20(10)" sheetId="26" r:id="rId26"/>
    <sheet name="20(11)" sheetId="27" r:id="rId27"/>
    <sheet name="20(12)" sheetId="28" r:id="rId28"/>
    <sheet name="21(1)" sheetId="31" r:id="rId29"/>
    <sheet name="21(2)" sheetId="32" r:id="rId30"/>
    <sheet name="21(3)" sheetId="33" r:id="rId31"/>
  </sheets>
  <definedNames>
    <definedName name="Slicer_Expense_Category">#N/A</definedName>
    <definedName name="Slicer_Purchased_Item">#N/A</definedName>
  </definedNames>
  <calcPr calcId="191029"/>
  <pivotCaches>
    <pivotCache cacheId="10" r:id="rId32"/>
  </pivotCaches>
  <extLst>
    <ext xmlns:x14="http://schemas.microsoft.com/office/spreadsheetml/2009/9/main" uri="{BBE1A952-AA13-448e-AADC-164F8A28A991}">
      <x14:slicerCaches>
        <x14:slicerCache r:id="rId33"/>
        <x14:slicerCache r:id="rId3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33" l="1" a="1"/>
  <c r="C3" i="33" s="1"/>
  <c r="C2" i="33"/>
  <c r="C3" i="32" a="1"/>
  <c r="C3" i="32" s="1"/>
  <c r="C2" i="32"/>
  <c r="C3" i="31" a="1"/>
  <c r="C3" i="31" s="1"/>
  <c r="C2" i="31"/>
  <c r="C21" i="4" l="1"/>
  <c r="B10" i="4" l="1"/>
  <c r="C10" i="4"/>
  <c r="B14" i="4"/>
  <c r="C14" i="4" s="1"/>
  <c r="B7" i="4"/>
  <c r="C7" i="4" s="1"/>
  <c r="B8" i="4"/>
  <c r="C8" i="4" s="1"/>
  <c r="B9" i="4"/>
  <c r="C9" i="4" s="1"/>
  <c r="B11" i="4"/>
  <c r="C11" i="4" s="1"/>
  <c r="B12" i="4"/>
  <c r="C12" i="4" s="1"/>
  <c r="B13" i="4"/>
  <c r="C13" i="4" s="1"/>
  <c r="B15" i="4"/>
  <c r="C15" i="4" s="1"/>
  <c r="B16" i="4"/>
  <c r="C16" i="4" s="1"/>
  <c r="B17" i="4"/>
  <c r="C17" i="4" s="1"/>
  <c r="B18" i="4"/>
  <c r="C18" i="4" s="1"/>
  <c r="B3" i="4"/>
  <c r="C3" i="4" s="1"/>
  <c r="B4" i="4"/>
  <c r="C4" i="4" s="1"/>
  <c r="B5" i="4"/>
  <c r="C5" i="4" s="1"/>
  <c r="B6" i="4"/>
  <c r="C6" i="4" s="1"/>
  <c r="B19" i="4"/>
  <c r="C19" i="4" s="1"/>
  <c r="B20" i="4"/>
  <c r="C20" i="4" s="1"/>
  <c r="B21" i="4"/>
  <c r="B22" i="4"/>
  <c r="C22" i="4" s="1"/>
  <c r="B23" i="4"/>
  <c r="C23" i="4" s="1"/>
  <c r="B24" i="4"/>
  <c r="C24" i="4" s="1"/>
  <c r="B25" i="4"/>
  <c r="C25" i="4" s="1"/>
  <c r="B26" i="4"/>
  <c r="C26" i="4" s="1"/>
  <c r="B27" i="4"/>
  <c r="C27" i="4" s="1"/>
  <c r="C3" i="28" l="1" a="1"/>
  <c r="C3" i="28" s="1"/>
  <c r="C2" i="28"/>
  <c r="C3" i="27" a="1"/>
  <c r="C3" i="27" s="1"/>
  <c r="C2" i="27"/>
  <c r="C3" i="26" a="1"/>
  <c r="C3" i="26" s="1"/>
  <c r="C2" i="26"/>
  <c r="C3" i="25" a="1"/>
  <c r="C3" i="25" s="1"/>
  <c r="C2" i="25"/>
  <c r="C3" i="24" a="1"/>
  <c r="C3" i="24" s="1"/>
  <c r="C2" i="24"/>
  <c r="C3" i="23" a="1"/>
  <c r="C3" i="23" s="1"/>
  <c r="C2" i="23"/>
  <c r="C2" i="15" l="1"/>
  <c r="C2" i="7"/>
  <c r="C2" i="6"/>
  <c r="C3" i="22" a="1"/>
  <c r="C3" i="22" s="1"/>
  <c r="C2" i="22"/>
  <c r="C3" i="21" a="1"/>
  <c r="C3" i="21" s="1"/>
  <c r="C2" i="21"/>
  <c r="C3" i="20" a="1"/>
  <c r="C3" i="20" s="1"/>
  <c r="C2" i="20"/>
  <c r="C3" i="19" a="1"/>
  <c r="C3" i="19" s="1"/>
  <c r="C2" i="19"/>
  <c r="C3" i="18" a="1"/>
  <c r="C3" i="18" s="1"/>
  <c r="C2" i="18"/>
  <c r="C3" i="17" a="1"/>
  <c r="C3" i="17" s="1"/>
  <c r="C2" i="17"/>
  <c r="C3" i="16" a="1"/>
  <c r="C3" i="16" s="1"/>
  <c r="C2" i="16"/>
  <c r="C3" i="15" a="1"/>
  <c r="C3" i="15" s="1"/>
  <c r="C3" i="14" a="1"/>
  <c r="C3" i="14" s="1"/>
  <c r="C2" i="14"/>
  <c r="C3" i="13" a="1"/>
  <c r="C3" i="13" s="1"/>
  <c r="C2" i="13"/>
  <c r="C3" i="12" a="1"/>
  <c r="C3" i="12" s="1"/>
  <c r="C2" i="12"/>
  <c r="C3" i="11" a="1"/>
  <c r="C3" i="11" s="1"/>
  <c r="C2" i="11"/>
  <c r="C3" i="10" a="1"/>
  <c r="C3" i="10" s="1"/>
  <c r="C2" i="10"/>
  <c r="C3" i="9" a="1"/>
  <c r="C3" i="9" s="1"/>
  <c r="C2" i="9"/>
  <c r="C3" i="8" a="1"/>
  <c r="C3" i="8" s="1"/>
  <c r="C2" i="8"/>
  <c r="C3" i="7" a="1"/>
  <c r="C3" i="7" s="1"/>
  <c r="C3" i="6" a="1"/>
  <c r="C3" i="6" s="1"/>
  <c r="C3" i="5" a="1"/>
  <c r="C3" i="5" s="1"/>
  <c r="C2" i="5"/>
  <c r="B2" i="29" l="1"/>
  <c r="B2" i="4" l="1"/>
  <c r="B28" i="4" s="1"/>
  <c r="C29" i="4"/>
  <c r="D29" i="4" s="1"/>
  <c r="C2" i="4" l="1"/>
  <c r="C30" i="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87E8FAC-2F7F-4257-B0F1-1F5A82C42A00}" keepAlive="1" name="Query - AllSales" description="Connection to the 'AllSales' query in the workbook." type="5" refreshedVersion="8" background="1">
    <dbPr connection="Provider=Microsoft.Mashup.OleDb.1;Data Source=$Workbook$;Location=AllSales;Extended Properties=&quot;&quot;" command="SELECT * FROM [AllSale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<sst xmlns="http://schemas.openxmlformats.org/spreadsheetml/2006/main" count="1471" uniqueCount="127">
  <si>
    <t>Graded Elemet</t>
  </si>
  <si>
    <t>Possible Points</t>
  </si>
  <si>
    <t>Earned Points</t>
  </si>
  <si>
    <t>Comments</t>
  </si>
  <si>
    <t>Total Possible</t>
  </si>
  <si>
    <t>Your Score</t>
  </si>
  <si>
    <t>Late = No</t>
  </si>
  <si>
    <t>Date</t>
  </si>
  <si>
    <t>Expense Category - Purchased Item</t>
  </si>
  <si>
    <t>VendorID</t>
  </si>
  <si>
    <t>Invoice Number</t>
  </si>
  <si>
    <t>Amount</t>
  </si>
  <si>
    <t>Admin Expense-Furniture</t>
  </si>
  <si>
    <t>7885WDG-CA5337</t>
  </si>
  <si>
    <t>Maintenance Expense-Capitalized Expense</t>
  </si>
  <si>
    <t>1XBLBL-ID4830</t>
  </si>
  <si>
    <t>Employee Expense-Entertainment Expense</t>
  </si>
  <si>
    <t>147838FZCW-WA358</t>
  </si>
  <si>
    <t>Shipping Expense-Wrap</t>
  </si>
  <si>
    <t>999C-WA1204</t>
  </si>
  <si>
    <t>Service Expense-Interest</t>
  </si>
  <si>
    <t>44151Q-WA1957</t>
  </si>
  <si>
    <t>Office Expense-Paper</t>
  </si>
  <si>
    <t>97922PZ-WA6718</t>
  </si>
  <si>
    <t>1UONZ-OR2984</t>
  </si>
  <si>
    <t>Manufacturing Expense-Parts</t>
  </si>
  <si>
    <t>5258LEKROJV-OR1076</t>
  </si>
  <si>
    <t>Auto Expense-Gas</t>
  </si>
  <si>
    <t>91FQMBBZE-WA2019</t>
  </si>
  <si>
    <t>50143XGQA-CA3579</t>
  </si>
  <si>
    <t>577EJEFZQE-WA765</t>
  </si>
  <si>
    <t>3M-NV4154</t>
  </si>
  <si>
    <t xml:space="preserve">Table Name = </t>
  </si>
  <si>
    <t>Sheet Name =</t>
  </si>
  <si>
    <t>Auto Expense-Capitalized Expense</t>
  </si>
  <si>
    <t>Office Expense-Printer</t>
  </si>
  <si>
    <t>7NG-OR6856</t>
  </si>
  <si>
    <t>8192CMQANY-WA8475</t>
  </si>
  <si>
    <t>Maintenance Expense-Parts</t>
  </si>
  <si>
    <t>695219WXLYQW-OR1043</t>
  </si>
  <si>
    <t>Service Expense-Customer Support</t>
  </si>
  <si>
    <t>32TBZV-CA6021</t>
  </si>
  <si>
    <t>Shipping Expense-Boxes</t>
  </si>
  <si>
    <t>781XCLQGF-OR2149</t>
  </si>
  <si>
    <t>Manufacturing Expense-Capitalized Expense</t>
  </si>
  <si>
    <t>1347ORB-ID872</t>
  </si>
  <si>
    <t>870166FDADF-ID1007</t>
  </si>
  <si>
    <t>19452CD-CA7669</t>
  </si>
  <si>
    <t>762558OTK-WA3772</t>
  </si>
  <si>
    <t>242XZR-ID4349</t>
  </si>
  <si>
    <t>Employee Expense-Food</t>
  </si>
  <si>
    <t>39JCYZ-WA8848</t>
  </si>
  <si>
    <t>Admin Expense-Phone</t>
  </si>
  <si>
    <t>598TAPRYGI-OR1909</t>
  </si>
  <si>
    <t>Office Expense-Desk</t>
  </si>
  <si>
    <t>Manufacturing Expense-Cleaning</t>
  </si>
  <si>
    <t>9AFGIQVA-WA7765</t>
  </si>
  <si>
    <t>Admin Expense-Travel</t>
  </si>
  <si>
    <t>Maintenance Expense-Building</t>
  </si>
  <si>
    <t>Shipping Expense-Printer</t>
  </si>
  <si>
    <t>999608FFD-WA435</t>
  </si>
  <si>
    <t>Employee Expense-Phone</t>
  </si>
  <si>
    <t>1DX-ID9772</t>
  </si>
  <si>
    <t>1FJH-OR6296</t>
  </si>
  <si>
    <t>296SRULTU-ID5186</t>
  </si>
  <si>
    <t>3OGLPHJ-WA9309</t>
  </si>
  <si>
    <t>190245N-CA8497</t>
  </si>
  <si>
    <t>Office Expense-Recording</t>
  </si>
  <si>
    <t>Shipping Expense-Mail</t>
  </si>
  <si>
    <t>Admin Expense-Food</t>
  </si>
  <si>
    <t>Service Expense-Phone</t>
  </si>
  <si>
    <t>Maintenance Expense-Cleaning</t>
  </si>
  <si>
    <t>Manufacturing Expense-Temp</t>
  </si>
  <si>
    <t>Employee Expense-Insurance</t>
  </si>
  <si>
    <t>Auto Expense-Insurance</t>
  </si>
  <si>
    <t>Auto Expense-Parts</t>
  </si>
  <si>
    <t>Service Expense-Internet</t>
  </si>
  <si>
    <t>Sheets with tables of expenses Data:</t>
  </si>
  <si>
    <t>Convert the expenses data Proper Data Sets on the sheets 19(10) and 20(3) to Excel Tables</t>
  </si>
  <si>
    <t>Name the Excel Tables on the 19(10) and 20(3): "Ex2019Oct" and "Ex2020Mar"</t>
  </si>
  <si>
    <t>Create Blank Query in Power Query and use the Excel.CurrentWorkbook() Function.</t>
  </si>
  <si>
    <t>Rename the incorrectly named Excel Table from "Ex2020Dac" to "Ex2020Dec"</t>
  </si>
  <si>
    <t>In the Power Query Editor, Name the Query Smartly, something different from "Query1"</t>
  </si>
  <si>
    <t>In the Power Query Editor, Expand the Content Column</t>
  </si>
  <si>
    <t>In the Power Query Editor, Remove the "Name" column (because we don't need Sheet name in final query).</t>
  </si>
  <si>
    <t>In the Power Query Editor, edit the M Code in the formula bar for the Splitter.SplitTextByDelimiter Power Query Function so that the two new columns that were created from the split have the names “Expense Category” and “Item Purchased”</t>
  </si>
  <si>
    <t>Load to final appended Proper Data Set to the PivotTable Cache on the Worksheet named “Dashboard”.</t>
  </si>
  <si>
    <t>In the Power Query Editor, Add an appropriate Data Type to each column.</t>
  </si>
  <si>
    <t>In the PivotTable Cache, Group the Date by Year and Month.</t>
  </si>
  <si>
    <t>Name the Fields or Columns in the PivotTable Report smartly, like "Month" rather than "Date"</t>
  </si>
  <si>
    <t>Build a PivotTable for Total Expense Amount for each month in each year.</t>
  </si>
  <si>
    <t>Build a new PivotTable for Average Amount for each month in each year.</t>
  </si>
  <si>
    <t>Create a Line Chart for the Total Expense Amount for each month in each year.</t>
  </si>
  <si>
    <t>After you create a Line Chart for the Total Expense Amount for each month in each year, save that chart as a Template.</t>
  </si>
  <si>
    <t>Use the Line Chart Template you just created to plot the Average Amount for each month in each year.</t>
  </si>
  <si>
    <t>Cut the two line charts and paste them on to the Worksheet named “Dashboard”.</t>
  </si>
  <si>
    <t>Format the Charts so that it is neat and professional.</t>
  </si>
  <si>
    <t>Format the PivotTables so that it is neat and professional.</t>
  </si>
  <si>
    <t>Name the PivotTables Smartly.</t>
  </si>
  <si>
    <t>Create a Slicer for “Expense Category” and for “Item Purchased”.</t>
  </si>
  <si>
    <t>Connect the Slicers to both PivotTables.</t>
  </si>
  <si>
    <t>Copy and paste the new worksheets into the Dashboard file.</t>
  </si>
  <si>
    <t>Name the three new Expenses Tables with the proper names: "Ex2012Jan", "Ex2021Feb" and "Ex2021Mar".</t>
  </si>
  <si>
    <t>Refresh the Dashboard</t>
  </si>
  <si>
    <t>Grand Total</t>
  </si>
  <si>
    <t>Years</t>
  </si>
  <si>
    <t>2019</t>
  </si>
  <si>
    <t>2019 Total</t>
  </si>
  <si>
    <t>2020</t>
  </si>
  <si>
    <t>2020 Total</t>
  </si>
  <si>
    <t>Jan</t>
  </si>
  <si>
    <t>Feb</t>
  </si>
  <si>
    <t>Mar</t>
  </si>
  <si>
    <t>Apr</t>
  </si>
  <si>
    <t>May</t>
  </si>
  <si>
    <t>Jun</t>
  </si>
  <si>
    <t>Jul</t>
  </si>
  <si>
    <t>Aug</t>
  </si>
  <si>
    <t>Sep</t>
  </si>
  <si>
    <t>Oct</t>
  </si>
  <si>
    <t>Nov</t>
  </si>
  <si>
    <t>Dec</t>
  </si>
  <si>
    <t>Sum of Amount</t>
  </si>
  <si>
    <t>Average of Amount</t>
  </si>
  <si>
    <t>Sioux's Company Expense Dashboard</t>
  </si>
  <si>
    <t>2021</t>
  </si>
  <si>
    <t>2021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</si>
</sst>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mm/dd/yyyy"/>
  </numFmts>
  <fonts count="4" x14ac:knownFonts="1">
    <font>
      <sz val="11"/>
      <color theme="1"/>
      <name val="Calibri"/>
      <family val="2"/>
      <scheme val="minor"/>
    </font>
    <font>
      <b/>
      <sz val="11"/>
      <color theme="0"/>
      <name val="Calibri"/>
      <family val="2"/>
      <scheme val="minor"/>
    </font>
    <font>
      <b/>
      <sz val="11"/>
      <color theme="1"/>
      <name val="Calibri"/>
      <family val="2"/>
      <scheme val="minor"/>
    </font>
    <font>
      <b/>
      <sz val="20"/>
      <color theme="0"/>
      <name val="Calibri"/>
      <family val="2"/>
      <scheme val="minor"/>
    </font>
  </fonts>
  <fills count="4">
    <fill>
      <patternFill patternType="none"/>
    </fill>
    <fill>
      <patternFill patternType="gray125"/>
    </fill>
    <fill>
      <patternFill patternType="solid">
        <fgColor rgb="FF002060"/>
        <bgColor indexed="64"/>
      </patternFill>
    </fill>
    <fill>
      <patternFill patternType="solid">
        <fgColor theme="3"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1">
    <xf numFmtId="0" fontId="0" fillId="0" borderId="0" xfId="0"/>
    <xf numFmtId="0" fontId="0" fillId="0" borderId="1" xfId="0" applyBorder="1"/>
    <xf numFmtId="0" fontId="1" fillId="2" borderId="1" xfId="0" applyFont="1" applyFill="1" applyBorder="1"/>
    <xf numFmtId="0" fontId="0" fillId="0" borderId="1" xfId="0" applyBorder="1" applyAlignment="1">
      <alignment horizontal="right"/>
    </xf>
    <xf numFmtId="0" fontId="0" fillId="0" borderId="1" xfId="0" applyBorder="1" applyAlignment="1">
      <alignment wrapText="1"/>
    </xf>
    <xf numFmtId="164" fontId="0" fillId="0" borderId="0" xfId="0" applyNumberFormat="1"/>
    <xf numFmtId="0" fontId="2" fillId="0" borderId="0" xfId="0" applyFont="1"/>
    <xf numFmtId="0" fontId="0" fillId="0" borderId="0" xfId="0" quotePrefix="1"/>
    <xf numFmtId="0" fontId="0" fillId="0" borderId="0" xfId="0" pivotButton="1"/>
    <xf numFmtId="4" fontId="0" fillId="0" borderId="0" xfId="0" applyNumberFormat="1"/>
    <xf numFmtId="0" fontId="3" fillId="3" borderId="0" xfId="0" applyFont="1" applyFill="1" applyAlignment="1">
      <alignment horizontal="centerContinuous" vertical="center"/>
    </xf>
  </cellXfs>
  <cellStyles count="1">
    <cellStyle name="Normal" xfId="0" builtinId="0"/>
  </cellStyles>
  <dxfs count="65">
    <dxf>
      <fill>
        <patternFill>
          <bgColor rgb="FF00FF00"/>
        </patternFill>
      </fill>
    </dxf>
    <dxf>
      <fill>
        <patternFill>
          <bgColor rgb="FFFFFF00"/>
        </patternFill>
      </fill>
    </dxf>
    <dxf>
      <fill>
        <patternFill>
          <bgColor rgb="FFFFFF00"/>
        </patternFill>
      </fill>
    </dxf>
    <dxf>
      <font>
        <b/>
        <i val="0"/>
        <strike val="0"/>
        <condense val="0"/>
        <extend val="0"/>
        <outline val="0"/>
        <shadow val="0"/>
        <u val="none"/>
        <vertAlign val="baseline"/>
        <sz val="11"/>
        <color theme="1"/>
        <name val="Calibri"/>
        <family val="2"/>
        <scheme val="minor"/>
      </font>
    </dxf>
    <dxf>
      <numFmt numFmtId="164" formatCode="mm/dd/yyyy"/>
    </dxf>
    <dxf>
      <font>
        <b/>
        <i val="0"/>
        <strike val="0"/>
        <condense val="0"/>
        <extend val="0"/>
        <outline val="0"/>
        <shadow val="0"/>
        <u val="none"/>
        <vertAlign val="baseline"/>
        <sz val="11"/>
        <color theme="1"/>
        <name val="Calibri"/>
        <family val="2"/>
        <scheme val="minor"/>
      </font>
    </dxf>
    <dxf>
      <numFmt numFmtId="164" formatCode="mm/dd/yyyy"/>
    </dxf>
    <dxf>
      <font>
        <b/>
        <i val="0"/>
        <strike val="0"/>
        <condense val="0"/>
        <extend val="0"/>
        <outline val="0"/>
        <shadow val="0"/>
        <u val="none"/>
        <vertAlign val="baseline"/>
        <sz val="11"/>
        <color theme="1"/>
        <name val="Calibri"/>
        <family val="2"/>
        <scheme val="minor"/>
      </font>
    </dxf>
    <dxf>
      <numFmt numFmtId="164" formatCode="mm/dd/yyyy"/>
    </dxf>
    <dxf>
      <font>
        <b/>
        <i val="0"/>
        <strike val="0"/>
        <condense val="0"/>
        <extend val="0"/>
        <outline val="0"/>
        <shadow val="0"/>
        <u val="none"/>
        <vertAlign val="baseline"/>
        <sz val="11"/>
        <color theme="1"/>
        <name val="Calibri"/>
        <family val="2"/>
        <scheme val="minor"/>
      </font>
    </dxf>
    <dxf>
      <numFmt numFmtId="164" formatCode="mm/dd/yyyy"/>
    </dxf>
    <dxf>
      <font>
        <b/>
        <i val="0"/>
        <strike val="0"/>
        <condense val="0"/>
        <extend val="0"/>
        <outline val="0"/>
        <shadow val="0"/>
        <u val="none"/>
        <vertAlign val="baseline"/>
        <sz val="11"/>
        <color theme="1"/>
        <name val="Calibri"/>
        <family val="2"/>
        <scheme val="minor"/>
      </font>
    </dxf>
    <dxf>
      <numFmt numFmtId="164" formatCode="mm/dd/yyyy"/>
    </dxf>
    <dxf>
      <numFmt numFmtId="164" formatCode="mm/dd/yyyy"/>
    </dxf>
    <dxf>
      <font>
        <b/>
        <i val="0"/>
        <strike val="0"/>
        <condense val="0"/>
        <extend val="0"/>
        <outline val="0"/>
        <shadow val="0"/>
        <u val="none"/>
        <vertAlign val="baseline"/>
        <sz val="11"/>
        <color theme="1"/>
        <name val="Calibri"/>
        <family val="2"/>
        <scheme val="minor"/>
      </font>
    </dxf>
    <dxf>
      <numFmt numFmtId="164" formatCode="mm/dd/yyyy"/>
    </dxf>
    <dxf>
      <font>
        <b/>
        <i val="0"/>
        <strike val="0"/>
        <condense val="0"/>
        <extend val="0"/>
        <outline val="0"/>
        <shadow val="0"/>
        <u val="none"/>
        <vertAlign val="baseline"/>
        <sz val="11"/>
        <color theme="1"/>
        <name val="Calibri"/>
        <family val="2"/>
        <scheme val="minor"/>
      </font>
    </dxf>
    <dxf>
      <numFmt numFmtId="164" formatCode="mm/dd/yyyy"/>
    </dxf>
    <dxf>
      <font>
        <b/>
        <i val="0"/>
        <strike val="0"/>
        <condense val="0"/>
        <extend val="0"/>
        <outline val="0"/>
        <shadow val="0"/>
        <u val="none"/>
        <vertAlign val="baseline"/>
        <sz val="11"/>
        <color theme="1"/>
        <name val="Calibri"/>
        <family val="2"/>
        <scheme val="minor"/>
      </font>
    </dxf>
    <dxf>
      <numFmt numFmtId="164" formatCode="mm/dd/yyyy"/>
    </dxf>
    <dxf>
      <font>
        <b/>
        <i val="0"/>
        <strike val="0"/>
        <condense val="0"/>
        <extend val="0"/>
        <outline val="0"/>
        <shadow val="0"/>
        <u val="none"/>
        <vertAlign val="baseline"/>
        <sz val="11"/>
        <color theme="1"/>
        <name val="Calibri"/>
        <family val="2"/>
        <scheme val="minor"/>
      </font>
    </dxf>
    <dxf>
      <numFmt numFmtId="164" formatCode="mm/dd/yyyy"/>
    </dxf>
    <dxf>
      <font>
        <b/>
        <i val="0"/>
        <strike val="0"/>
        <condense val="0"/>
        <extend val="0"/>
        <outline val="0"/>
        <shadow val="0"/>
        <u val="none"/>
        <vertAlign val="baseline"/>
        <sz val="11"/>
        <color theme="1"/>
        <name val="Calibri"/>
        <family val="2"/>
        <scheme val="minor"/>
      </font>
    </dxf>
    <dxf>
      <numFmt numFmtId="164" formatCode="mm/dd/yyyy"/>
    </dxf>
    <dxf>
      <font>
        <b/>
        <i val="0"/>
        <strike val="0"/>
        <condense val="0"/>
        <extend val="0"/>
        <outline val="0"/>
        <shadow val="0"/>
        <u val="none"/>
        <vertAlign val="baseline"/>
        <sz val="11"/>
        <color theme="1"/>
        <name val="Calibri"/>
        <family val="2"/>
        <scheme val="minor"/>
      </font>
    </dxf>
    <dxf>
      <numFmt numFmtId="164" formatCode="mm/dd/yyyy"/>
    </dxf>
    <dxf>
      <font>
        <b/>
        <i val="0"/>
        <strike val="0"/>
        <condense val="0"/>
        <extend val="0"/>
        <outline val="0"/>
        <shadow val="0"/>
        <u val="none"/>
        <vertAlign val="baseline"/>
        <sz val="11"/>
        <color theme="1"/>
        <name val="Calibri"/>
        <family val="2"/>
        <scheme val="minor"/>
      </font>
    </dxf>
    <dxf>
      <numFmt numFmtId="164" formatCode="mm/dd/yyyy"/>
    </dxf>
    <dxf>
      <font>
        <b/>
        <i val="0"/>
        <strike val="0"/>
        <condense val="0"/>
        <extend val="0"/>
        <outline val="0"/>
        <shadow val="0"/>
        <u val="none"/>
        <vertAlign val="baseline"/>
        <sz val="11"/>
        <color theme="1"/>
        <name val="Calibri"/>
        <family val="2"/>
        <scheme val="minor"/>
      </font>
    </dxf>
    <dxf>
      <numFmt numFmtId="164" formatCode="mm/dd/yyyy"/>
    </dxf>
    <dxf>
      <font>
        <b/>
        <i val="0"/>
        <strike val="0"/>
        <condense val="0"/>
        <extend val="0"/>
        <outline val="0"/>
        <shadow val="0"/>
        <u val="none"/>
        <vertAlign val="baseline"/>
        <sz val="11"/>
        <color theme="1"/>
        <name val="Calibri"/>
        <family val="2"/>
        <scheme val="minor"/>
      </font>
    </dxf>
    <dxf>
      <numFmt numFmtId="164" formatCode="mm/dd/yyyy"/>
    </dxf>
    <dxf>
      <font>
        <b/>
        <i val="0"/>
        <strike val="0"/>
        <condense val="0"/>
        <extend val="0"/>
        <outline val="0"/>
        <shadow val="0"/>
        <u val="none"/>
        <vertAlign val="baseline"/>
        <sz val="11"/>
        <color theme="1"/>
        <name val="Calibri"/>
        <family val="2"/>
        <scheme val="minor"/>
      </font>
    </dxf>
    <dxf>
      <numFmt numFmtId="164" formatCode="mm/dd/yyyy"/>
    </dxf>
    <dxf>
      <font>
        <b/>
        <i val="0"/>
        <strike val="0"/>
        <condense val="0"/>
        <extend val="0"/>
        <outline val="0"/>
        <shadow val="0"/>
        <u val="none"/>
        <vertAlign val="baseline"/>
        <sz val="11"/>
        <color theme="1"/>
        <name val="Calibri"/>
        <family val="2"/>
        <scheme val="minor"/>
      </font>
    </dxf>
    <dxf>
      <numFmt numFmtId="164" formatCode="mm/dd/yyyy"/>
    </dxf>
    <dxf>
      <font>
        <b/>
        <i val="0"/>
        <strike val="0"/>
        <condense val="0"/>
        <extend val="0"/>
        <outline val="0"/>
        <shadow val="0"/>
        <u val="none"/>
        <vertAlign val="baseline"/>
        <sz val="11"/>
        <color theme="1"/>
        <name val="Calibri"/>
        <family val="2"/>
        <scheme val="minor"/>
      </font>
    </dxf>
    <dxf>
      <numFmt numFmtId="164" formatCode="mm/dd/yyyy"/>
    </dxf>
    <dxf>
      <font>
        <b/>
        <i val="0"/>
        <strike val="0"/>
        <condense val="0"/>
        <extend val="0"/>
        <outline val="0"/>
        <shadow val="0"/>
        <u val="none"/>
        <vertAlign val="baseline"/>
        <sz val="11"/>
        <color theme="1"/>
        <name val="Calibri"/>
        <family val="2"/>
        <scheme val="minor"/>
      </font>
    </dxf>
    <dxf>
      <numFmt numFmtId="164" formatCode="mm/dd/yyyy"/>
    </dxf>
    <dxf>
      <font>
        <b/>
        <i val="0"/>
        <strike val="0"/>
        <condense val="0"/>
        <extend val="0"/>
        <outline val="0"/>
        <shadow val="0"/>
        <u val="none"/>
        <vertAlign val="baseline"/>
        <sz val="11"/>
        <color theme="1"/>
        <name val="Calibri"/>
        <family val="2"/>
        <scheme val="minor"/>
      </font>
    </dxf>
    <dxf>
      <numFmt numFmtId="164" formatCode="mm/dd/yyyy"/>
    </dxf>
    <dxf>
      <font>
        <b/>
        <i val="0"/>
        <strike val="0"/>
        <condense val="0"/>
        <extend val="0"/>
        <outline val="0"/>
        <shadow val="0"/>
        <u val="none"/>
        <vertAlign val="baseline"/>
        <sz val="11"/>
        <color theme="1"/>
        <name val="Calibri"/>
        <family val="2"/>
        <scheme val="minor"/>
      </font>
    </dxf>
    <dxf>
      <numFmt numFmtId="164" formatCode="mm/dd/yyyy"/>
    </dxf>
    <dxf>
      <font>
        <b/>
        <i val="0"/>
        <strike val="0"/>
        <condense val="0"/>
        <extend val="0"/>
        <outline val="0"/>
        <shadow val="0"/>
        <u val="none"/>
        <vertAlign val="baseline"/>
        <sz val="11"/>
        <color theme="1"/>
        <name val="Calibri"/>
        <family val="2"/>
        <scheme val="minor"/>
      </font>
    </dxf>
    <dxf>
      <numFmt numFmtId="164" formatCode="mm/dd/yyyy"/>
    </dxf>
    <dxf>
      <font>
        <b/>
        <i val="0"/>
        <strike val="0"/>
        <condense val="0"/>
        <extend val="0"/>
        <outline val="0"/>
        <shadow val="0"/>
        <u val="none"/>
        <vertAlign val="baseline"/>
        <sz val="11"/>
        <color theme="1"/>
        <name val="Calibri"/>
        <family val="2"/>
        <scheme val="minor"/>
      </font>
    </dxf>
    <dxf>
      <numFmt numFmtId="164" formatCode="mm/dd/yyyy"/>
    </dxf>
    <dxf>
      <font>
        <b/>
        <i val="0"/>
        <strike val="0"/>
        <condense val="0"/>
        <extend val="0"/>
        <outline val="0"/>
        <shadow val="0"/>
        <u val="none"/>
        <vertAlign val="baseline"/>
        <sz val="11"/>
        <color theme="1"/>
        <name val="Calibri"/>
        <family val="2"/>
        <scheme val="minor"/>
      </font>
    </dxf>
    <dxf>
      <numFmt numFmtId="164" formatCode="mm/dd/yyyy"/>
    </dxf>
    <dxf>
      <font>
        <b/>
        <i val="0"/>
        <strike val="0"/>
        <condense val="0"/>
        <extend val="0"/>
        <outline val="0"/>
        <shadow val="0"/>
        <u val="none"/>
        <vertAlign val="baseline"/>
        <sz val="11"/>
        <color theme="1"/>
        <name val="Calibri"/>
        <family val="2"/>
        <scheme val="minor"/>
      </font>
    </dxf>
    <dxf>
      <numFmt numFmtId="164" formatCode="mm/dd/yyyy"/>
    </dxf>
    <dxf>
      <font>
        <b/>
        <i val="0"/>
        <strike val="0"/>
        <condense val="0"/>
        <extend val="0"/>
        <outline val="0"/>
        <shadow val="0"/>
        <u val="none"/>
        <vertAlign val="baseline"/>
        <sz val="11"/>
        <color theme="1"/>
        <name val="Calibri"/>
        <family val="2"/>
        <scheme val="minor"/>
      </font>
    </dxf>
    <dxf>
      <numFmt numFmtId="164" formatCode="mm/dd/yyyy"/>
    </dxf>
    <dxf>
      <font>
        <b/>
        <i val="0"/>
        <strike val="0"/>
        <condense val="0"/>
        <extend val="0"/>
        <outline val="0"/>
        <shadow val="0"/>
        <u val="none"/>
        <vertAlign val="baseline"/>
        <sz val="11"/>
        <color theme="1"/>
        <name val="Calibri"/>
        <family val="2"/>
        <scheme val="minor"/>
      </font>
    </dxf>
    <dxf>
      <numFmt numFmtId="164" formatCode="mm/dd/yyyy"/>
    </dxf>
    <dxf>
      <font>
        <b/>
        <i val="0"/>
        <strike val="0"/>
        <condense val="0"/>
        <extend val="0"/>
        <outline val="0"/>
        <shadow val="0"/>
        <u val="none"/>
        <vertAlign val="baseline"/>
        <sz val="11"/>
        <color theme="1"/>
        <name val="Calibri"/>
        <family val="2"/>
        <scheme val="minor"/>
      </font>
    </dxf>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
      <font>
        <b/>
        <i val="0"/>
      </font>
      <fill>
        <patternFill>
          <bgColor rgb="FFD7D7D7"/>
        </patternFill>
      </fill>
    </dxf>
    <dxf>
      <font>
        <b val="0"/>
        <i val="0"/>
      </font>
      <fill>
        <patternFill patternType="none">
          <bgColor indexed="65"/>
        </patternFill>
      </fill>
    </dxf>
  </dxfs>
  <tableStyles count="3" defaultTableStyle="TableStyleMedium2" defaultPivotStyle="PivotStyleMedium9">
    <tableStyle name="MySqlDefault" pivot="0" table="0" count="2" xr9:uid="{F0644CBD-C972-4954-86CE-7CE144159B7D}">
      <tableStyleElement type="wholeTable" dxfId="64"/>
      <tableStyleElement type="headerRow" dxfId="63"/>
    </tableStyle>
    <tableStyle name="TableStyleQueryPreview" pivot="0" count="3" xr9:uid="{00000000-0011-0000-FFFF-FFFF00000000}">
      <tableStyleElement type="wholeTable" dxfId="62"/>
      <tableStyleElement type="headerRow" dxfId="61"/>
      <tableStyleElement type="firstRowStripe" dxfId="60"/>
    </tableStyle>
    <tableStyle name="TableStyleQueryResult" pivot="0" count="3" xr9:uid="{00000000-0011-0000-FFFF-FFFF01000000}">
      <tableStyleElement type="wholeTable" dxfId="59"/>
      <tableStyleElement type="headerRow" dxfId="58"/>
      <tableStyleElement type="firstRowStripe" dxfId="57"/>
    </tableStyle>
  </tableStyles>
  <colors>
    <mruColors>
      <color rgb="FF00FF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microsoft.com/office/2007/relationships/slicerCache" Target="slicerCaches/slicerCache2.xml"/><Relationship Id="rId42" Type="http://schemas.openxmlformats.org/officeDocument/2006/relationships/customXml" Target="../customXml/item2.xml"/><Relationship Id="rId47" Type="http://schemas.openxmlformats.org/officeDocument/2006/relationships/customXml" Target="../customXml/item7.xml"/><Relationship Id="rId50" Type="http://schemas.openxmlformats.org/officeDocument/2006/relationships/customXml" Target="../customXml/item10.xml"/><Relationship Id="rId55" Type="http://schemas.openxmlformats.org/officeDocument/2006/relationships/customXml" Target="../customXml/item1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openxmlformats.org/officeDocument/2006/relationships/styles" Target="styles.xml"/><Relationship Id="rId40" Type="http://schemas.openxmlformats.org/officeDocument/2006/relationships/calcChain" Target="calcChain.xml"/><Relationship Id="rId45" Type="http://schemas.openxmlformats.org/officeDocument/2006/relationships/customXml" Target="../customXml/item5.xml"/><Relationship Id="rId53" Type="http://schemas.openxmlformats.org/officeDocument/2006/relationships/customXml" Target="../customXml/item13.xml"/><Relationship Id="rId58" Type="http://schemas.openxmlformats.org/officeDocument/2006/relationships/customXml" Target="../customXml/item18.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openxmlformats.org/officeDocument/2006/relationships/customXml" Target="../customXml/item3.xml"/><Relationship Id="rId48" Type="http://schemas.openxmlformats.org/officeDocument/2006/relationships/customXml" Target="../customXml/item8.xml"/><Relationship Id="rId56" Type="http://schemas.openxmlformats.org/officeDocument/2006/relationships/customXml" Target="../customXml/item16.xml"/><Relationship Id="rId8" Type="http://schemas.openxmlformats.org/officeDocument/2006/relationships/worksheet" Target="worksheets/sheet8.xml"/><Relationship Id="rId51" Type="http://schemas.openxmlformats.org/officeDocument/2006/relationships/customXml" Target="../customXml/item1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7/relationships/slicerCache" Target="slicerCaches/slicerCache1.xml"/><Relationship Id="rId38" Type="http://schemas.openxmlformats.org/officeDocument/2006/relationships/sharedStrings" Target="sharedStrings.xml"/><Relationship Id="rId46" Type="http://schemas.openxmlformats.org/officeDocument/2006/relationships/customXml" Target="../customXml/item6.xml"/><Relationship Id="rId59"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customXml" Target="../customXml/item1.xml"/><Relationship Id="rId54" Type="http://schemas.openxmlformats.org/officeDocument/2006/relationships/customXml" Target="../customXml/item1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49" Type="http://schemas.openxmlformats.org/officeDocument/2006/relationships/customXml" Target="../customXml/item9.xml"/><Relationship Id="rId57" Type="http://schemas.openxmlformats.org/officeDocument/2006/relationships/customXml" Target="../customXml/item1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customXml" Target="../customXml/item4.xml"/><Relationship Id="rId52" Type="http://schemas.openxmlformats.org/officeDocument/2006/relationships/customXml" Target="../customXml/item1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[BI348Project03.xlsm]Build Dashboard!PivotTable3</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a:t>
            </a:r>
            <a:r>
              <a:rPr lang="en-US" baseline="0"/>
              <a:t> Expenses Amount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'Build Dashboard'!$I$3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'Build Dashboard'!$G$4:$H$34</c:f>
              <c:multiLvlStrCache>
                <c:ptCount val="27"/>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lvl>
                <c:lvl>
                  <c:pt idx="0">
                    <c:v>2019</c:v>
                  </c:pt>
                  <c:pt idx="12">
                    <c:v>2020</c:v>
                  </c:pt>
                  <c:pt idx="24">
                    <c:v>2021</c:v>
                  </c:pt>
                </c:lvl>
              </c:multiLvlStrCache>
            </c:multiLvlStrRef>
          </c:cat>
          <c:val>
            <c:numRef>
              <c:f>'Build Dashboard'!$I$4:$I$34</c:f>
              <c:numCache>
                <c:formatCode>#,##0.00</c:formatCode>
                <c:ptCount val="27"/>
                <c:pt idx="0">
                  <c:v>233.96533333333329</c:v>
                </c:pt>
                <c:pt idx="1">
                  <c:v>458.54799999999994</c:v>
                </c:pt>
                <c:pt idx="2">
                  <c:v>74.939411764705881</c:v>
                </c:pt>
                <c:pt idx="3">
                  <c:v>445.49799999999993</c:v>
                </c:pt>
                <c:pt idx="4">
                  <c:v>393.19300000000004</c:v>
                </c:pt>
                <c:pt idx="5">
                  <c:v>433.14000000000004</c:v>
                </c:pt>
                <c:pt idx="6">
                  <c:v>18.271818181818183</c:v>
                </c:pt>
                <c:pt idx="7">
                  <c:v>86.884285714285696</c:v>
                </c:pt>
                <c:pt idx="8">
                  <c:v>41.151562500000004</c:v>
                </c:pt>
                <c:pt idx="9">
                  <c:v>487.71388888888879</c:v>
                </c:pt>
                <c:pt idx="10">
                  <c:v>81.134999999999991</c:v>
                </c:pt>
                <c:pt idx="11">
                  <c:v>57.335000000000001</c:v>
                </c:pt>
                <c:pt idx="12">
                  <c:v>130.04</c:v>
                </c:pt>
                <c:pt idx="13">
                  <c:v>53.964375000000004</c:v>
                </c:pt>
                <c:pt idx="14">
                  <c:v>66.257307692307705</c:v>
                </c:pt>
                <c:pt idx="15">
                  <c:v>490.46631578947364</c:v>
                </c:pt>
                <c:pt idx="16">
                  <c:v>98.50705882352942</c:v>
                </c:pt>
                <c:pt idx="17">
                  <c:v>65.257333333333321</c:v>
                </c:pt>
                <c:pt idx="18">
                  <c:v>135.97363636363639</c:v>
                </c:pt>
                <c:pt idx="19">
                  <c:v>437.9675862068965</c:v>
                </c:pt>
                <c:pt idx="20">
                  <c:v>148.51727272727277</c:v>
                </c:pt>
                <c:pt idx="21">
                  <c:v>78.921666666666681</c:v>
                </c:pt>
                <c:pt idx="22">
                  <c:v>41.686923076923073</c:v>
                </c:pt>
                <c:pt idx="23">
                  <c:v>64.068000000000012</c:v>
                </c:pt>
                <c:pt idx="24">
                  <c:v>240.6903571428571</c:v>
                </c:pt>
                <c:pt idx="25">
                  <c:v>417.8671794871795</c:v>
                </c:pt>
                <c:pt idx="26">
                  <c:v>602.18395348837225</c:v>
                </c:pt>
              </c:numCache>
            </c:numRef>
          </c:val>
          <c:smooth val="0"/>
          <c:extLst>
            <c:ext xmlns:c16="http://schemas.microsoft.com/office/drawing/2014/chart" uri="{C3380CC4-5D6E-409C-BE32-E72D297353CC}">
              <c16:uniqueId val="{00000000-9FCB-4D09-9894-FC0D843471DF}"/>
            </c:ext>
          </c:extLst>
        </c:ser>
        <c:dLbls>
          <c:dLblPos val="t"/>
          <c:showLegendKey val="0"/>
          <c:showVal val="1"/>
          <c:showCatName val="0"/>
          <c:showSerName val="0"/>
          <c:showPercent val="0"/>
          <c:showBubbleSize val="0"/>
        </c:dLbls>
        <c:smooth val="0"/>
        <c:axId val="982395759"/>
        <c:axId val="982410319"/>
      </c:lineChart>
      <c:catAx>
        <c:axId val="982395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2410319"/>
        <c:crosses val="autoZero"/>
        <c:auto val="1"/>
        <c:lblAlgn val="ctr"/>
        <c:lblOffset val="100"/>
        <c:noMultiLvlLbl val="0"/>
      </c:catAx>
      <c:valAx>
        <c:axId val="98241031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23957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[BI348Project03.xlsm]Build Dashboard!PivotTable1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Expenses Amount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'Build Dashboard'!$D$3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'Build Dashboard'!$B$4:$C$34</c:f>
              <c:multiLvlStrCache>
                <c:ptCount val="27"/>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lvl>
                <c:lvl>
                  <c:pt idx="0">
                    <c:v>2019</c:v>
                  </c:pt>
                  <c:pt idx="12">
                    <c:v>2020</c:v>
                  </c:pt>
                  <c:pt idx="24">
                    <c:v>2021</c:v>
                  </c:pt>
                </c:lvl>
              </c:multiLvlStrCache>
            </c:multiLvlStrRef>
          </c:cat>
          <c:val>
            <c:numRef>
              <c:f>'Build Dashboard'!$D$4:$D$34</c:f>
              <c:numCache>
                <c:formatCode>#,##0.00</c:formatCode>
                <c:ptCount val="27"/>
                <c:pt idx="0">
                  <c:v>3509.4799999999996</c:v>
                </c:pt>
                <c:pt idx="1">
                  <c:v>9170.9599999999991</c:v>
                </c:pt>
                <c:pt idx="2">
                  <c:v>1273.97</c:v>
                </c:pt>
                <c:pt idx="3">
                  <c:v>13364.939999999999</c:v>
                </c:pt>
                <c:pt idx="4">
                  <c:v>3931.9300000000003</c:v>
                </c:pt>
                <c:pt idx="5">
                  <c:v>10395.36</c:v>
                </c:pt>
                <c:pt idx="6">
                  <c:v>602.97</c:v>
                </c:pt>
                <c:pt idx="7">
                  <c:v>1824.5699999999997</c:v>
                </c:pt>
                <c:pt idx="8">
                  <c:v>1316.8500000000001</c:v>
                </c:pt>
                <c:pt idx="9">
                  <c:v>8778.8499999999985</c:v>
                </c:pt>
                <c:pt idx="10">
                  <c:v>811.34999999999991</c:v>
                </c:pt>
                <c:pt idx="11">
                  <c:v>688.02</c:v>
                </c:pt>
                <c:pt idx="12">
                  <c:v>1300.3999999999999</c:v>
                </c:pt>
                <c:pt idx="13">
                  <c:v>863.43000000000006</c:v>
                </c:pt>
                <c:pt idx="14">
                  <c:v>1722.6900000000003</c:v>
                </c:pt>
                <c:pt idx="15">
                  <c:v>9318.8599999999988</c:v>
                </c:pt>
                <c:pt idx="16">
                  <c:v>1674.6200000000001</c:v>
                </c:pt>
                <c:pt idx="17">
                  <c:v>978.8599999999999</c:v>
                </c:pt>
                <c:pt idx="18">
                  <c:v>2991.4200000000005</c:v>
                </c:pt>
                <c:pt idx="19">
                  <c:v>12701.059999999998</c:v>
                </c:pt>
                <c:pt idx="20">
                  <c:v>4901.0700000000015</c:v>
                </c:pt>
                <c:pt idx="21">
                  <c:v>1894.1200000000003</c:v>
                </c:pt>
                <c:pt idx="22">
                  <c:v>541.92999999999995</c:v>
                </c:pt>
                <c:pt idx="23">
                  <c:v>640.68000000000006</c:v>
                </c:pt>
                <c:pt idx="24">
                  <c:v>6739.329999999999</c:v>
                </c:pt>
                <c:pt idx="25">
                  <c:v>16296.82</c:v>
                </c:pt>
                <c:pt idx="26">
                  <c:v>25893.910000000007</c:v>
                </c:pt>
              </c:numCache>
            </c:numRef>
          </c:val>
          <c:smooth val="0"/>
          <c:extLst>
            <c:ext xmlns:c16="http://schemas.microsoft.com/office/drawing/2014/chart" uri="{C3380CC4-5D6E-409C-BE32-E72D297353CC}">
              <c16:uniqueId val="{00000000-88AD-4CFE-AF40-F0F3DCB65473}"/>
            </c:ext>
          </c:extLst>
        </c:ser>
        <c:dLbls>
          <c:dLblPos val="t"/>
          <c:showLegendKey val="0"/>
          <c:showVal val="1"/>
          <c:showCatName val="0"/>
          <c:showSerName val="0"/>
          <c:showPercent val="0"/>
          <c:showBubbleSize val="0"/>
        </c:dLbls>
        <c:smooth val="0"/>
        <c:axId val="982409903"/>
        <c:axId val="982415311"/>
      </c:lineChart>
      <c:catAx>
        <c:axId val="9824099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2415311"/>
        <c:crosses val="autoZero"/>
        <c:auto val="1"/>
        <c:lblAlgn val="ctr"/>
        <c:lblOffset val="100"/>
        <c:noMultiLvlLbl val="0"/>
      </c:catAx>
      <c:valAx>
        <c:axId val="98241531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24099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304800</xdr:colOff>
      <xdr:row>3</xdr:row>
      <xdr:rowOff>0</xdr:rowOff>
    </xdr:from>
    <xdr:to>
      <xdr:col>14</xdr:col>
      <xdr:colOff>0</xdr:colOff>
      <xdr:row>15</xdr:row>
      <xdr:rowOff>124691</xdr:rowOff>
    </xdr:to>
    <xdr:graphicFrame macro="">
      <xdr:nvGraphicFramePr>
        <xdr:cNvPr id="3" name="Chart 2">
          <a:extLst>
            <a:ext uri="{FF2B5EF4-FFF2-40B4-BE49-F238E27FC236}">
              <a16:creationId xmlns:a16="http://schemas.microsoft.com/office/drawing/2014/main" id="{AFA8F598-FA1A-4A1C-A463-F9A8B3FFAF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304800</xdr:colOff>
      <xdr:row>16</xdr:row>
      <xdr:rowOff>0</xdr:rowOff>
    </xdr:from>
    <xdr:to>
      <xdr:col>14</xdr:col>
      <xdr:colOff>0</xdr:colOff>
      <xdr:row>28</xdr:row>
      <xdr:rowOff>124691</xdr:rowOff>
    </xdr:to>
    <xdr:graphicFrame macro="">
      <xdr:nvGraphicFramePr>
        <xdr:cNvPr id="4" name="Chart 3">
          <a:extLst>
            <a:ext uri="{FF2B5EF4-FFF2-40B4-BE49-F238E27FC236}">
              <a16:creationId xmlns:a16="http://schemas.microsoft.com/office/drawing/2014/main" id="{B66C3E07-27BF-4126-BE42-4664791B29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14</xdr:col>
      <xdr:colOff>311727</xdr:colOff>
      <xdr:row>3</xdr:row>
      <xdr:rowOff>0</xdr:rowOff>
    </xdr:from>
    <xdr:to>
      <xdr:col>20</xdr:col>
      <xdr:colOff>448887</xdr:colOff>
      <xdr:row>15</xdr:row>
      <xdr:rowOff>124691</xdr:rowOff>
    </xdr:to>
    <mc:AlternateContent xmlns:mc="http://schemas.openxmlformats.org/markup-compatibility/2006">
      <mc:Choice xmlns:a14="http://schemas.microsoft.com/office/drawing/2010/main" Requires="a14">
        <xdr:graphicFrame macro="">
          <xdr:nvGraphicFramePr>
            <xdr:cNvPr id="5" name="Purchased Item">
              <a:extLst>
                <a:ext uri="{FF2B5EF4-FFF2-40B4-BE49-F238E27FC236}">
                  <a16:creationId xmlns:a16="http://schemas.microsoft.com/office/drawing/2014/main" id="{E899C948-3A3A-460F-90F3-C01C133A7242}"/>
                </a:ext>
              </a:extLst>
            </xdr:cNvPr>
            <xdr:cNvGraphicFramePr/>
          </xdr:nvGraphicFramePr>
          <xdr:xfrm>
            <a:off x="0" y="0"/>
            <a:ext cx="0" cy="0"/>
          </xdr:xfrm>
          <a:graphic>
            <a:graphicData uri="http://schemas.microsoft.com/office/drawing/2010/slicer">
              <sle:slicer xmlns:sle="http://schemas.microsoft.com/office/drawing/2010/slicer" name="Purchased Item"/>
            </a:graphicData>
          </a:graphic>
        </xdr:graphicFrame>
      </mc:Choice>
      <mc:Fallback>
        <xdr:sp macro="" textlink="">
          <xdr:nvSpPr>
            <xdr:cNvPr id="0" name=""/>
            <xdr:cNvSpPr>
              <a:spLocks noTextEdit="1"/>
            </xdr:cNvSpPr>
          </xdr:nvSpPr>
          <xdr:spPr>
            <a:xfrm>
              <a:off x="8846127" y="693420"/>
              <a:ext cx="3794760" cy="23192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297871</xdr:colOff>
      <xdr:row>17</xdr:row>
      <xdr:rowOff>62346</xdr:rowOff>
    </xdr:from>
    <xdr:to>
      <xdr:col>20</xdr:col>
      <xdr:colOff>464126</xdr:colOff>
      <xdr:row>26</xdr:row>
      <xdr:rowOff>34637</xdr:rowOff>
    </xdr:to>
    <mc:AlternateContent xmlns:mc="http://schemas.openxmlformats.org/markup-compatibility/2006">
      <mc:Choice xmlns:a14="http://schemas.microsoft.com/office/drawing/2010/main" Requires="a14">
        <xdr:graphicFrame macro="">
          <xdr:nvGraphicFramePr>
            <xdr:cNvPr id="6" name="Expense Category">
              <a:extLst>
                <a:ext uri="{FF2B5EF4-FFF2-40B4-BE49-F238E27FC236}">
                  <a16:creationId xmlns:a16="http://schemas.microsoft.com/office/drawing/2014/main" id="{8E7DEABD-ABC5-4498-9A69-7CDADC147809}"/>
                </a:ext>
              </a:extLst>
            </xdr:cNvPr>
            <xdr:cNvGraphicFramePr/>
          </xdr:nvGraphicFramePr>
          <xdr:xfrm>
            <a:off x="0" y="0"/>
            <a:ext cx="0" cy="0"/>
          </xdr:xfrm>
          <a:graphic>
            <a:graphicData uri="http://schemas.microsoft.com/office/drawing/2010/slicer">
              <sle:slicer xmlns:sle="http://schemas.microsoft.com/office/drawing/2010/slicer" name="Expense Category"/>
            </a:graphicData>
          </a:graphic>
        </xdr:graphicFrame>
      </mc:Choice>
      <mc:Fallback>
        <xdr:sp macro="" textlink="">
          <xdr:nvSpPr>
            <xdr:cNvPr id="0" name=""/>
            <xdr:cNvSpPr>
              <a:spLocks noTextEdit="1"/>
            </xdr:cNvSpPr>
          </xdr:nvSpPr>
          <xdr:spPr>
            <a:xfrm>
              <a:off x="8832271" y="3316086"/>
              <a:ext cx="3823855" cy="16182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cer" refreshedDate="44803.51554699074" backgroundQuery="1" createdVersion="8" refreshedVersion="8" minRefreshableVersion="3" recordCount="586" xr:uid="{10CDC719-9DAC-4266-A62F-136E390D4FAA}">
  <cacheSource type="external" connectionId="1"/>
  <cacheFields count="8">
    <cacheField name="Date" numFmtId="0">
      <sharedItems containsSemiMixedTypes="0" containsNonDate="0" containsDate="1" containsString="0" minDate="2019-01-03T00:00:00" maxDate="2021-04-01T00:00:00" count="405">
        <d v="2019-01-03T00:00:00"/>
        <d v="2019-01-05T00:00:00"/>
        <d v="2019-01-06T00:00:00"/>
        <d v="2019-01-07T00:00:00"/>
        <d v="2019-01-08T00:00:00"/>
        <d v="2019-01-09T00:00:00"/>
        <d v="2019-01-11T00:00:00"/>
        <d v="2019-01-12T00:00:00"/>
        <d v="2019-01-16T00:00:00"/>
        <d v="2019-01-19T00:00:00"/>
        <d v="2019-01-27T00:00:00"/>
        <d v="2019-01-28T00:00:00"/>
        <d v="2019-01-30T00:00:00"/>
        <d v="2019-02-01T00:00:00"/>
        <d v="2019-02-02T00:00:00"/>
        <d v="2019-02-03T00:00:00"/>
        <d v="2019-02-05T00:00:00"/>
        <d v="2019-02-06T00:00:00"/>
        <d v="2019-02-08T00:00:00"/>
        <d v="2019-02-11T00:00:00"/>
        <d v="2019-02-13T00:00:00"/>
        <d v="2019-02-14T00:00:00"/>
        <d v="2019-02-16T00:00:00"/>
        <d v="2019-02-17T00:00:00"/>
        <d v="2019-02-18T00:00:00"/>
        <d v="2019-02-19T00:00:00"/>
        <d v="2019-02-20T00:00:00"/>
        <d v="2019-02-23T00:00:00"/>
        <d v="2019-02-24T00:00:00"/>
        <d v="2019-03-02T00:00:00"/>
        <d v="2019-03-04T00:00:00"/>
        <d v="2019-03-05T00:00:00"/>
        <d v="2019-03-06T00:00:00"/>
        <d v="2019-03-07T00:00:00"/>
        <d v="2019-03-09T00:00:00"/>
        <d v="2019-03-12T00:00:00"/>
        <d v="2019-03-20T00:00:00"/>
        <d v="2019-03-21T00:00:00"/>
        <d v="2019-03-22T00:00:00"/>
        <d v="2019-03-24T00:00:00"/>
        <d v="2019-03-26T00:00:00"/>
        <d v="2019-03-30T00:00:00"/>
        <d v="2019-04-02T00:00:00"/>
        <d v="2019-04-05T00:00:00"/>
        <d v="2019-04-06T00:00:00"/>
        <d v="2019-04-07T00:00:00"/>
        <d v="2019-04-08T00:00:00"/>
        <d v="2019-04-09T00:00:00"/>
        <d v="2019-04-10T00:00:00"/>
        <d v="2019-04-12T00:00:00"/>
        <d v="2019-04-14T00:00:00"/>
        <d v="2019-04-16T00:00:00"/>
        <d v="2019-04-18T00:00:00"/>
        <d v="2019-04-19T00:00:00"/>
        <d v="2019-04-20T00:00:00"/>
        <d v="2019-04-21T00:00:00"/>
        <d v="2019-04-23T00:00:00"/>
        <d v="2019-04-24T00:00:00"/>
        <d v="2019-04-26T00:00:00"/>
        <d v="2019-04-28T00:00:00"/>
        <d v="2019-04-29T00:00:00"/>
        <d v="2019-05-02T00:00:00"/>
        <d v="2019-05-04T00:00:00"/>
        <d v="2019-05-13T00:00:00"/>
        <d v="2019-05-18T00:00:00"/>
        <d v="2019-05-21T00:00:00"/>
        <d v="2019-05-26T00:00:00"/>
        <d v="2019-05-29T00:00:00"/>
        <d v="2019-05-30T00:00:00"/>
        <d v="2019-05-31T00:00:00"/>
        <d v="2019-06-02T00:00:00"/>
        <d v="2019-06-03T00:00:00"/>
        <d v="2019-06-07T00:00:00"/>
        <d v="2019-06-09T00:00:00"/>
        <d v="2019-06-10T00:00:00"/>
        <d v="2019-06-12T00:00:00"/>
        <d v="2019-06-15T00:00:00"/>
        <d v="2019-06-18T00:00:00"/>
        <d v="2019-06-19T00:00:00"/>
        <d v="2019-06-20T00:00:00"/>
        <d v="2019-06-21T00:00:00"/>
        <d v="2019-06-22T00:00:00"/>
        <d v="2019-06-24T00:00:00"/>
        <d v="2019-06-25T00:00:00"/>
        <d v="2019-06-28T00:00:00"/>
        <d v="2019-06-29T00:00:00"/>
        <d v="2019-07-03T00:00:00"/>
        <d v="2019-07-05T00:00:00"/>
        <d v="2019-07-06T00:00:00"/>
        <d v="2019-07-08T00:00:00"/>
        <d v="2019-07-11T00:00:00"/>
        <d v="2019-07-12T00:00:00"/>
        <d v="2019-07-13T00:00:00"/>
        <d v="2019-07-14T00:00:00"/>
        <d v="2019-07-16T00:00:00"/>
        <d v="2019-07-17T00:00:00"/>
        <d v="2019-07-19T00:00:00"/>
        <d v="2019-07-20T00:00:00"/>
        <d v="2019-07-21T00:00:00"/>
        <d v="2019-07-23T00:00:00"/>
        <d v="2019-07-27T00:00:00"/>
        <d v="2019-07-28T00:00:00"/>
        <d v="2019-07-30T00:00:00"/>
        <d v="2019-07-31T00:00:00"/>
        <d v="2019-08-04T00:00:00"/>
        <d v="2019-08-05T00:00:00"/>
        <d v="2019-08-06T00:00:00"/>
        <d v="2019-08-09T00:00:00"/>
        <d v="2019-08-10T00:00:00"/>
        <d v="2019-08-11T00:00:00"/>
        <d v="2019-08-12T00:00:00"/>
        <d v="2019-08-16T00:00:00"/>
        <d v="2019-08-19T00:00:00"/>
        <d v="2019-08-20T00:00:00"/>
        <d v="2019-08-21T00:00:00"/>
        <d v="2019-08-26T00:00:00"/>
        <d v="2019-08-27T00:00:00"/>
        <d v="2019-08-28T00:00:00"/>
        <d v="2019-08-29T00:00:00"/>
        <d v="2019-08-30T00:00:00"/>
        <d v="2019-09-03T00:00:00"/>
        <d v="2019-09-05T00:00:00"/>
        <d v="2019-09-06T00:00:00"/>
        <d v="2019-09-07T00:00:00"/>
        <d v="2019-09-08T00:00:00"/>
        <d v="2019-09-09T00:00:00"/>
        <d v="2019-09-10T00:00:00"/>
        <d v="2019-09-12T00:00:00"/>
        <d v="2019-09-13T00:00:00"/>
        <d v="2019-09-15T00:00:00"/>
        <d v="2019-09-16T00:00:00"/>
        <d v="2019-09-18T00:00:00"/>
        <d v="2019-09-19T00:00:00"/>
        <d v="2019-09-21T00:00:00"/>
        <d v="2019-09-23T00:00:00"/>
        <d v="2019-09-24T00:00:00"/>
        <d v="2019-09-25T00:00:00"/>
        <d v="2019-09-26T00:00:00"/>
        <d v="2019-09-27T00:00:00"/>
        <d v="2019-09-28T00:00:00"/>
        <d v="2019-09-29T00:00:00"/>
        <d v="2019-10-04T00:00:00"/>
        <d v="2019-10-05T00:00:00"/>
        <d v="2019-10-11T00:00:00"/>
        <d v="2019-10-13T00:00:00"/>
        <d v="2019-10-15T00:00:00"/>
        <d v="2019-10-17T00:00:00"/>
        <d v="2019-10-19T00:00:00"/>
        <d v="2019-10-20T00:00:00"/>
        <d v="2019-10-22T00:00:00"/>
        <d v="2019-10-23T00:00:00"/>
        <d v="2019-10-24T00:00:00"/>
        <d v="2019-10-25T00:00:00"/>
        <d v="2019-10-28T00:00:00"/>
        <d v="2019-10-31T00:00:00"/>
        <d v="2019-11-02T00:00:00"/>
        <d v="2019-11-04T00:00:00"/>
        <d v="2019-11-07T00:00:00"/>
        <d v="2019-11-11T00:00:00"/>
        <d v="2019-11-14T00:00:00"/>
        <d v="2019-11-21T00:00:00"/>
        <d v="2019-11-25T00:00:00"/>
        <d v="2019-11-30T00:00:00"/>
        <d v="2019-12-03T00:00:00"/>
        <d v="2019-12-06T00:00:00"/>
        <d v="2019-12-09T00:00:00"/>
        <d v="2019-12-12T00:00:00"/>
        <d v="2019-12-13T00:00:00"/>
        <d v="2019-12-16T00:00:00"/>
        <d v="2019-12-19T00:00:00"/>
        <d v="2019-12-22T00:00:00"/>
        <d v="2019-12-24T00:00:00"/>
        <d v="2019-12-26T00:00:00"/>
        <d v="2019-12-30T00:00:00"/>
        <d v="2020-01-04T00:00:00"/>
        <d v="2020-01-06T00:00:00"/>
        <d v="2020-01-08T00:00:00"/>
        <d v="2020-01-10T00:00:00"/>
        <d v="2020-01-14T00:00:00"/>
        <d v="2020-01-17T00:00:00"/>
        <d v="2020-01-28T00:00:00"/>
        <d v="2020-01-29T00:00:00"/>
        <d v="2020-02-03T00:00:00"/>
        <d v="2020-02-05T00:00:00"/>
        <d v="2020-02-09T00:00:00"/>
        <d v="2020-02-10T00:00:00"/>
        <d v="2020-02-11T00:00:00"/>
        <d v="2020-02-13T00:00:00"/>
        <d v="2020-02-18T00:00:00"/>
        <d v="2020-02-20T00:00:00"/>
        <d v="2020-02-24T00:00:00"/>
        <d v="2020-02-26T00:00:00"/>
        <d v="2020-02-27T00:00:00"/>
        <d v="2020-02-29T00:00:00"/>
        <d v="2020-03-05T00:00:00"/>
        <d v="2020-03-09T00:00:00"/>
        <d v="2020-03-12T00:00:00"/>
        <d v="2020-03-13T00:00:00"/>
        <d v="2020-03-15T00:00:00"/>
        <d v="2020-03-16T00:00:00"/>
        <d v="2020-03-17T00:00:00"/>
        <d v="2020-03-18T00:00:00"/>
        <d v="2020-03-19T00:00:00"/>
        <d v="2020-03-20T00:00:00"/>
        <d v="2020-03-23T00:00:00"/>
        <d v="2020-03-24T00:00:00"/>
        <d v="2020-03-25T00:00:00"/>
        <d v="2020-03-26T00:00:00"/>
        <d v="2020-03-27T00:00:00"/>
        <d v="2020-03-28T00:00:00"/>
        <d v="2020-03-30T00:00:00"/>
        <d v="2020-04-01T00:00:00"/>
        <d v="2020-04-02T00:00:00"/>
        <d v="2020-04-03T00:00:00"/>
        <d v="2020-04-05T00:00:00"/>
        <d v="2020-04-06T00:00:00"/>
        <d v="2020-04-11T00:00:00"/>
        <d v="2020-04-12T00:00:00"/>
        <d v="2020-04-13T00:00:00"/>
        <d v="2020-04-14T00:00:00"/>
        <d v="2020-04-17T00:00:00"/>
        <d v="2020-04-18T00:00:00"/>
        <d v="2020-04-20T00:00:00"/>
        <d v="2020-04-22T00:00:00"/>
        <d v="2020-04-28T00:00:00"/>
        <d v="2020-05-01T00:00:00"/>
        <d v="2020-05-04T00:00:00"/>
        <d v="2020-05-05T00:00:00"/>
        <d v="2020-05-06T00:00:00"/>
        <d v="2020-05-07T00:00:00"/>
        <d v="2020-05-11T00:00:00"/>
        <d v="2020-05-16T00:00:00"/>
        <d v="2020-05-19T00:00:00"/>
        <d v="2020-05-20T00:00:00"/>
        <d v="2020-05-29T00:00:00"/>
        <d v="2020-05-30T00:00:00"/>
        <d v="2020-05-31T00:00:00"/>
        <d v="2020-06-03T00:00:00"/>
        <d v="2020-06-04T00:00:00"/>
        <d v="2020-06-06T00:00:00"/>
        <d v="2020-06-10T00:00:00"/>
        <d v="2020-06-11T00:00:00"/>
        <d v="2020-06-15T00:00:00"/>
        <d v="2020-06-16T00:00:00"/>
        <d v="2020-06-17T00:00:00"/>
        <d v="2020-06-20T00:00:00"/>
        <d v="2020-06-21T00:00:00"/>
        <d v="2020-06-23T00:00:00"/>
        <d v="2020-06-24T00:00:00"/>
        <d v="2020-07-01T00:00:00"/>
        <d v="2020-07-03T00:00:00"/>
        <d v="2020-07-06T00:00:00"/>
        <d v="2020-07-07T00:00:00"/>
        <d v="2020-07-08T00:00:00"/>
        <d v="2020-07-09T00:00:00"/>
        <d v="2020-07-11T00:00:00"/>
        <d v="2020-07-14T00:00:00"/>
        <d v="2020-07-16T00:00:00"/>
        <d v="2020-07-17T00:00:00"/>
        <d v="2020-07-20T00:00:00"/>
        <d v="2020-07-24T00:00:00"/>
        <d v="2020-07-26T00:00:00"/>
        <d v="2020-07-28T00:00:00"/>
        <d v="2020-07-29T00:00:00"/>
        <d v="2020-07-31T00:00:00"/>
        <d v="2020-08-03T00:00:00"/>
        <d v="2020-08-04T00:00:00"/>
        <d v="2020-08-05T00:00:00"/>
        <d v="2020-08-06T00:00:00"/>
        <d v="2020-08-08T00:00:00"/>
        <d v="2020-08-09T00:00:00"/>
        <d v="2020-08-11T00:00:00"/>
        <d v="2020-08-12T00:00:00"/>
        <d v="2020-08-13T00:00:00"/>
        <d v="2020-08-15T00:00:00"/>
        <d v="2020-08-16T00:00:00"/>
        <d v="2020-08-17T00:00:00"/>
        <d v="2020-08-18T00:00:00"/>
        <d v="2020-08-19T00:00:00"/>
        <d v="2020-08-21T00:00:00"/>
        <d v="2020-08-22T00:00:00"/>
        <d v="2020-08-25T00:00:00"/>
        <d v="2020-08-26T00:00:00"/>
        <d v="2020-08-28T00:00:00"/>
        <d v="2020-08-29T00:00:00"/>
        <d v="2020-08-30T00:00:00"/>
        <d v="2020-08-31T00:00:00"/>
        <d v="2020-09-01T00:00:00"/>
        <d v="2020-09-02T00:00:00"/>
        <d v="2020-09-03T00:00:00"/>
        <d v="2020-09-05T00:00:00"/>
        <d v="2020-09-07T00:00:00"/>
        <d v="2020-09-10T00:00:00"/>
        <d v="2020-09-11T00:00:00"/>
        <d v="2020-09-12T00:00:00"/>
        <d v="2020-09-13T00:00:00"/>
        <d v="2020-09-15T00:00:00"/>
        <d v="2020-09-19T00:00:00"/>
        <d v="2020-09-20T00:00:00"/>
        <d v="2020-09-21T00:00:00"/>
        <d v="2020-09-22T00:00:00"/>
        <d v="2020-09-23T00:00:00"/>
        <d v="2020-09-24T00:00:00"/>
        <d v="2020-09-25T00:00:00"/>
        <d v="2020-09-26T00:00:00"/>
        <d v="2020-09-27T00:00:00"/>
        <d v="2020-09-28T00:00:00"/>
        <d v="2020-09-29T00:00:00"/>
        <d v="2020-09-30T00:00:00"/>
        <d v="2020-10-02T00:00:00"/>
        <d v="2020-10-05T00:00:00"/>
        <d v="2020-10-07T00:00:00"/>
        <d v="2020-10-08T00:00:00"/>
        <d v="2020-10-09T00:00:00"/>
        <d v="2020-10-10T00:00:00"/>
        <d v="2020-10-13T00:00:00"/>
        <d v="2020-10-14T00:00:00"/>
        <d v="2020-10-21T00:00:00"/>
        <d v="2020-10-22T00:00:00"/>
        <d v="2020-10-23T00:00:00"/>
        <d v="2020-10-24T00:00:00"/>
        <d v="2020-10-25T00:00:00"/>
        <d v="2020-10-26T00:00:00"/>
        <d v="2020-10-27T00:00:00"/>
        <d v="2020-10-28T00:00:00"/>
        <d v="2020-10-29T00:00:00"/>
        <d v="2020-11-02T00:00:00"/>
        <d v="2020-11-04T00:00:00"/>
        <d v="2020-11-06T00:00:00"/>
        <d v="2020-11-07T00:00:00"/>
        <d v="2020-11-09T00:00:00"/>
        <d v="2020-11-12T00:00:00"/>
        <d v="2020-11-15T00:00:00"/>
        <d v="2020-11-19T00:00:00"/>
        <d v="2020-11-28T00:00:00"/>
        <d v="2020-11-29T00:00:00"/>
        <d v="2020-12-04T00:00:00"/>
        <d v="2020-12-05T00:00:00"/>
        <d v="2020-12-12T00:00:00"/>
        <d v="2020-12-14T00:00:00"/>
        <d v="2020-12-17T00:00:00"/>
        <d v="2020-12-18T00:00:00"/>
        <d v="2020-12-21T00:00:00"/>
        <d v="2021-01-02T00:00:00"/>
        <d v="2021-01-06T00:00:00"/>
        <d v="2021-01-07T00:00:00"/>
        <d v="2021-01-08T00:00:00"/>
        <d v="2021-01-10T00:00:00"/>
        <d v="2021-01-14T00:00:00"/>
        <d v="2021-01-15T00:00:00"/>
        <d v="2021-01-16T00:00:00"/>
        <d v="2021-01-19T00:00:00"/>
        <d v="2021-01-20T00:00:00"/>
        <d v="2021-01-22T00:00:00"/>
        <d v="2021-01-23T00:00:00"/>
        <d v="2021-01-24T00:00:00"/>
        <d v="2021-01-28T00:00:00"/>
        <d v="2021-01-29T00:00:00"/>
        <d v="2021-01-30T00:00:00"/>
        <d v="2021-01-31T00:00:00"/>
        <d v="2021-02-01T00:00:00"/>
        <d v="2021-02-03T00:00:00"/>
        <d v="2021-02-04T00:00:00"/>
        <d v="2021-02-06T00:00:00"/>
        <d v="2021-02-07T00:00:00"/>
        <d v="2021-02-08T00:00:00"/>
        <d v="2021-02-11T00:00:00"/>
        <d v="2021-02-12T00:00:00"/>
        <d v="2021-02-13T00:00:00"/>
        <d v="2021-02-15T00:00:00"/>
        <d v="2021-02-17T00:00:00"/>
        <d v="2021-02-18T00:00:00"/>
        <d v="2021-02-19T00:00:00"/>
        <d v="2021-02-20T00:00:00"/>
        <d v="2021-02-21T00:00:00"/>
        <d v="2021-02-22T00:00:00"/>
        <d v="2021-02-23T00:00:00"/>
        <d v="2021-02-24T00:00:00"/>
        <d v="2021-02-25T00:00:00"/>
        <d v="2021-02-26T00:00:00"/>
        <d v="2021-02-27T00:00:00"/>
        <d v="2021-02-28T00:00:00"/>
        <d v="2021-03-02T00:00:00"/>
        <d v="2021-03-05T00:00:00"/>
        <d v="2021-03-06T00:00:00"/>
        <d v="2021-03-07T00:00:00"/>
        <d v="2021-03-08T00:00:00"/>
        <d v="2021-03-09T00:00:00"/>
        <d v="2021-03-12T00:00:00"/>
        <d v="2021-03-14T00:00:00"/>
        <d v="2021-03-15T00:00:00"/>
        <d v="2021-03-16T00:00:00"/>
        <d v="2021-03-17T00:00:00"/>
        <d v="2021-03-18T00:00:00"/>
        <d v="2021-03-19T00:00:00"/>
        <d v="2021-03-20T00:00:00"/>
        <d v="2021-03-21T00:00:00"/>
        <d v="2021-03-22T00:00:00"/>
        <d v="2021-03-23T00:00:00"/>
        <d v="2021-03-24T00:00:00"/>
        <d v="2021-03-25T00:00:00"/>
        <d v="2021-03-27T00:00:00"/>
        <d v="2021-03-29T00:00:00"/>
        <d v="2021-03-30T00:00:00"/>
        <d v="2021-03-31T00:00:00"/>
      </sharedItems>
      <fieldGroup par="7" base="0">
        <rangePr groupBy="months" startDate="2019-01-03T00:00:00" endDate="2021-04-01T00:00:00"/>
        <groupItems count="14">
          <s v="&lt;1/3/2019"/>
          <s v="Jan"/>
          <s v="Feb"/>
          <s v="Mar"/>
          <s v="Apr"/>
          <s v="May"/>
          <s v="Jun"/>
          <s v="Jul"/>
          <s v="Aug"/>
          <s v="Sep"/>
          <s v="Oct"/>
          <s v="Nov"/>
          <s v="Dec"/>
          <s v="&gt;4/1/2021"/>
        </groupItems>
      </fieldGroup>
    </cacheField>
    <cacheField name="Expense Category" numFmtId="0">
      <sharedItems count="8">
        <s v="Admin Expense"/>
        <s v="Maintenance Expense"/>
        <s v="Employee Expense"/>
        <s v="Shipping Expense"/>
        <s v="Service Expense"/>
        <s v="Office Expense"/>
        <s v="Manufacturing Expense"/>
        <s v="Auto Expense"/>
      </sharedItems>
    </cacheField>
    <cacheField name="Purchased Item" numFmtId="0">
      <sharedItems count="22">
        <s v="Furniture"/>
        <s v="Capitalized Expense"/>
        <s v="Entertainment Expense"/>
        <s v="Wrap"/>
        <s v="Interest"/>
        <s v="Paper"/>
        <s v="Parts"/>
        <s v="Gas"/>
        <s v="Printer"/>
        <s v="Customer Support"/>
        <s v="Boxes"/>
        <s v="Food"/>
        <s v="Desk"/>
        <s v="Cleaning"/>
        <s v="Travel"/>
        <s v="Building"/>
        <s v="Phone"/>
        <s v="Recording"/>
        <s v="Mail"/>
        <s v="Temp"/>
        <s v="Insurance"/>
        <s v="Internet"/>
      </sharedItems>
    </cacheField>
    <cacheField name="VendorID" numFmtId="0">
      <sharedItems/>
    </cacheField>
    <cacheField name="Invoice Number" numFmtId="0">
      <sharedItems containsSemiMixedTypes="0" containsString="0" containsNumber="1" containsInteger="1" minValue="2403" maxValue="122266"/>
    </cacheField>
    <cacheField name="Amount" numFmtId="0">
      <sharedItems containsSemiMixedTypes="0" containsString="0" containsNumber="1" minValue="3.93" maxValue="1219.8900000000001"/>
    </cacheField>
    <cacheField name="Quarters" numFmtId="0" databaseField="0">
      <fieldGroup base="0">
        <rangePr groupBy="quarters" startDate="2019-01-03T00:00:00" endDate="2021-04-01T00:00:00"/>
        <groupItems count="6">
          <s v="&lt;1/3/2019"/>
          <s v="Qtr1"/>
          <s v="Qtr2"/>
          <s v="Qtr3"/>
          <s v="Qtr4"/>
          <s v="&gt;4/1/2021"/>
        </groupItems>
      </fieldGroup>
    </cacheField>
    <cacheField name="Years" numFmtId="0" databaseField="0">
      <fieldGroup base="0">
        <rangePr groupBy="years" startDate="2019-01-03T00:00:00" endDate="2021-04-01T00:00:00"/>
        <groupItems count="5">
          <s v="&lt;1/3/2019"/>
          <s v="2019"/>
          <s v="2020"/>
          <s v="2021"/>
          <s v="&gt;4/1/2021"/>
        </groupItems>
      </fieldGroup>
    </cacheField>
  </cacheFields>
  <extLst>
    <ext xmlns:x14="http://schemas.microsoft.com/office/spreadsheetml/2009/9/main" uri="{725AE2AE-9491-48be-B2B4-4EB974FC3084}">
      <x14:pivotCacheDefinition pivotCacheId="165445742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86">
  <r>
    <x v="0"/>
    <x v="0"/>
    <x v="0"/>
    <s v="7885WDG-CA5337"/>
    <n v="18831"/>
    <n v="208.61"/>
  </r>
  <r>
    <x v="0"/>
    <x v="1"/>
    <x v="1"/>
    <s v="1XBLBL-ID4830"/>
    <n v="25782"/>
    <n v="179.53"/>
  </r>
  <r>
    <x v="1"/>
    <x v="2"/>
    <x v="2"/>
    <s v="147838FZCW-WA358"/>
    <n v="56718"/>
    <n v="187.21"/>
  </r>
  <r>
    <x v="2"/>
    <x v="3"/>
    <x v="3"/>
    <s v="999C-WA1204"/>
    <n v="13278"/>
    <n v="396.98"/>
  </r>
  <r>
    <x v="3"/>
    <x v="4"/>
    <x v="4"/>
    <s v="44151Q-WA1957"/>
    <n v="28659"/>
    <n v="190.67"/>
  </r>
  <r>
    <x v="4"/>
    <x v="3"/>
    <x v="3"/>
    <s v="999C-WA1204"/>
    <n v="13278"/>
    <n v="115.57"/>
  </r>
  <r>
    <x v="5"/>
    <x v="3"/>
    <x v="3"/>
    <s v="44151Q-WA1957"/>
    <n v="28659"/>
    <n v="110.98"/>
  </r>
  <r>
    <x v="6"/>
    <x v="5"/>
    <x v="5"/>
    <s v="97922PZ-WA6718"/>
    <n v="38311"/>
    <n v="383.99"/>
  </r>
  <r>
    <x v="7"/>
    <x v="3"/>
    <x v="3"/>
    <s v="1UONZ-OR2984"/>
    <n v="98755"/>
    <n v="395.66"/>
  </r>
  <r>
    <x v="8"/>
    <x v="6"/>
    <x v="6"/>
    <s v="5258LEKROJV-OR1076"/>
    <n v="43820"/>
    <n v="226.02"/>
  </r>
  <r>
    <x v="9"/>
    <x v="7"/>
    <x v="7"/>
    <s v="91FQMBBZE-WA2019"/>
    <n v="48477"/>
    <n v="156.85"/>
  </r>
  <r>
    <x v="10"/>
    <x v="7"/>
    <x v="7"/>
    <s v="7885WDG-CA5337"/>
    <n v="18831"/>
    <n v="266.56"/>
  </r>
  <r>
    <x v="10"/>
    <x v="0"/>
    <x v="0"/>
    <s v="50143XGQA-CA3579"/>
    <n v="100692"/>
    <n v="142.02000000000001"/>
  </r>
  <r>
    <x v="11"/>
    <x v="7"/>
    <x v="7"/>
    <s v="577EJEFZQE-WA765"/>
    <n v="29965"/>
    <n v="251.16"/>
  </r>
  <r>
    <x v="12"/>
    <x v="6"/>
    <x v="6"/>
    <s v="3M-NV4154"/>
    <n v="20913"/>
    <n v="297.67"/>
  </r>
  <r>
    <x v="13"/>
    <x v="7"/>
    <x v="1"/>
    <s v="44151Q-WA1957"/>
    <n v="30678"/>
    <n v="416.67"/>
  </r>
  <r>
    <x v="13"/>
    <x v="5"/>
    <x v="8"/>
    <s v="7NG-OR6856"/>
    <n v="20027"/>
    <n v="497.38"/>
  </r>
  <r>
    <x v="14"/>
    <x v="7"/>
    <x v="1"/>
    <s v="8192CMQANY-WA8475"/>
    <n v="102076"/>
    <n v="281.26"/>
  </r>
  <r>
    <x v="15"/>
    <x v="1"/>
    <x v="6"/>
    <s v="695219WXLYQW-OR1043"/>
    <n v="74612"/>
    <n v="508.63"/>
  </r>
  <r>
    <x v="16"/>
    <x v="4"/>
    <x v="9"/>
    <s v="97922PZ-WA6718"/>
    <n v="40330"/>
    <n v="584.13"/>
  </r>
  <r>
    <x v="17"/>
    <x v="1"/>
    <x v="6"/>
    <s v="32TBZV-CA6021"/>
    <n v="65613"/>
    <n v="559.17999999999995"/>
  </r>
  <r>
    <x v="17"/>
    <x v="3"/>
    <x v="10"/>
    <s v="32TBZV-CA6021"/>
    <n v="65613"/>
    <n v="563.36"/>
  </r>
  <r>
    <x v="18"/>
    <x v="3"/>
    <x v="10"/>
    <s v="781XCLQGF-OR2149"/>
    <n v="102015"/>
    <n v="560.51"/>
  </r>
  <r>
    <x v="19"/>
    <x v="6"/>
    <x v="1"/>
    <s v="97922PZ-WA6718"/>
    <n v="40330"/>
    <n v="520.92999999999995"/>
  </r>
  <r>
    <x v="19"/>
    <x v="4"/>
    <x v="9"/>
    <s v="781XCLQGF-OR2149"/>
    <n v="102015"/>
    <n v="598.16"/>
  </r>
  <r>
    <x v="20"/>
    <x v="7"/>
    <x v="1"/>
    <s v="1347ORB-ID872"/>
    <n v="77400"/>
    <n v="375.5"/>
  </r>
  <r>
    <x v="21"/>
    <x v="5"/>
    <x v="8"/>
    <s v="577EJEFZQE-WA765"/>
    <n v="31984"/>
    <n v="345.36"/>
  </r>
  <r>
    <x v="22"/>
    <x v="7"/>
    <x v="1"/>
    <s v="870166FDADF-ID1007"/>
    <n v="32617"/>
    <n v="325.7"/>
  </r>
  <r>
    <x v="22"/>
    <x v="3"/>
    <x v="10"/>
    <s v="19452CD-CA7669"/>
    <n v="21684"/>
    <n v="484.44"/>
  </r>
  <r>
    <x v="23"/>
    <x v="5"/>
    <x v="8"/>
    <s v="762558OTK-WA3772"/>
    <n v="29073"/>
    <n v="436.08"/>
  </r>
  <r>
    <x v="24"/>
    <x v="5"/>
    <x v="8"/>
    <s v="242XZR-ID4349"/>
    <n v="21826"/>
    <n v="552.19000000000005"/>
  </r>
  <r>
    <x v="25"/>
    <x v="2"/>
    <x v="11"/>
    <s v="1347ORB-ID872"/>
    <n v="77400"/>
    <n v="327.02999999999997"/>
  </r>
  <r>
    <x v="26"/>
    <x v="3"/>
    <x v="10"/>
    <s v="91FQMBBZE-WA2019"/>
    <n v="50496"/>
    <n v="420.62"/>
  </r>
  <r>
    <x v="27"/>
    <x v="5"/>
    <x v="8"/>
    <s v="1347ORB-ID872"/>
    <n v="77400"/>
    <n v="334.87"/>
  </r>
  <r>
    <x v="28"/>
    <x v="7"/>
    <x v="1"/>
    <s v="39JCYZ-WA8848"/>
    <n v="66802"/>
    <n v="478.96"/>
  </r>
  <r>
    <x v="29"/>
    <x v="5"/>
    <x v="12"/>
    <s v="8192CMQANY-WA8475"/>
    <n v="104095"/>
    <n v="123.67"/>
  </r>
  <r>
    <x v="29"/>
    <x v="5"/>
    <x v="12"/>
    <s v="44151Q-WA1957"/>
    <n v="32697"/>
    <n v="48.58"/>
  </r>
  <r>
    <x v="30"/>
    <x v="5"/>
    <x v="12"/>
    <s v="91FQMBBZE-WA2019"/>
    <n v="52515"/>
    <n v="87.63"/>
  </r>
  <r>
    <x v="31"/>
    <x v="6"/>
    <x v="13"/>
    <s v="9AFGIQVA-WA7765"/>
    <n v="72112"/>
    <n v="123.62"/>
  </r>
  <r>
    <x v="32"/>
    <x v="6"/>
    <x v="13"/>
    <s v="32TBZV-CA6021"/>
    <n v="67632"/>
    <n v="80.66"/>
  </r>
  <r>
    <x v="33"/>
    <x v="5"/>
    <x v="12"/>
    <s v="44151Q-WA1957"/>
    <n v="32697"/>
    <n v="31.54"/>
  </r>
  <r>
    <x v="34"/>
    <x v="0"/>
    <x v="14"/>
    <s v="1347ORB-ID872"/>
    <n v="79419"/>
    <n v="107.39"/>
  </r>
  <r>
    <x v="35"/>
    <x v="1"/>
    <x v="15"/>
    <s v="1UONZ-OR2984"/>
    <n v="102793"/>
    <n v="96.32"/>
  </r>
  <r>
    <x v="36"/>
    <x v="3"/>
    <x v="8"/>
    <s v="870166FDADF-ID1007"/>
    <n v="34636"/>
    <n v="50.65"/>
  </r>
  <r>
    <x v="37"/>
    <x v="3"/>
    <x v="8"/>
    <s v="999608FFD-WA435"/>
    <n v="102691"/>
    <n v="109.08"/>
  </r>
  <r>
    <x v="37"/>
    <x v="5"/>
    <x v="12"/>
    <s v="695219WXLYQW-OR1043"/>
    <n v="76631"/>
    <n v="42.32"/>
  </r>
  <r>
    <x v="38"/>
    <x v="0"/>
    <x v="14"/>
    <s v="242XZR-ID4349"/>
    <n v="23845"/>
    <n v="31.53"/>
  </r>
  <r>
    <x v="38"/>
    <x v="2"/>
    <x v="16"/>
    <s v="1DX-ID9772"/>
    <n v="94545"/>
    <n v="31.21"/>
  </r>
  <r>
    <x v="39"/>
    <x v="6"/>
    <x v="13"/>
    <s v="1DX-ID9772"/>
    <n v="94545"/>
    <n v="44.89"/>
  </r>
  <r>
    <x v="40"/>
    <x v="1"/>
    <x v="15"/>
    <s v="1DX-ID9772"/>
    <n v="94545"/>
    <n v="115.55"/>
  </r>
  <r>
    <x v="41"/>
    <x v="5"/>
    <x v="12"/>
    <s v="91FQMBBZE-WA2019"/>
    <n v="52515"/>
    <n v="29.05"/>
  </r>
  <r>
    <x v="41"/>
    <x v="2"/>
    <x v="16"/>
    <s v="1UONZ-OR2984"/>
    <n v="102793"/>
    <n v="120.28"/>
  </r>
  <r>
    <x v="42"/>
    <x v="7"/>
    <x v="1"/>
    <s v="999C-WA1204"/>
    <n v="19335"/>
    <n v="328.77"/>
  </r>
  <r>
    <x v="42"/>
    <x v="1"/>
    <x v="6"/>
    <s v="97922PZ-WA6718"/>
    <n v="44368"/>
    <n v="306.26"/>
  </r>
  <r>
    <x v="42"/>
    <x v="5"/>
    <x v="8"/>
    <s v="1FJH-OR6296"/>
    <n v="94111"/>
    <n v="395.35"/>
  </r>
  <r>
    <x v="43"/>
    <x v="7"/>
    <x v="1"/>
    <s v="44151Q-WA1957"/>
    <n v="34716"/>
    <n v="381.95"/>
  </r>
  <r>
    <x v="43"/>
    <x v="3"/>
    <x v="10"/>
    <s v="598TAPRYGI-OR1909"/>
    <n v="91760"/>
    <n v="472.57"/>
  </r>
  <r>
    <x v="44"/>
    <x v="7"/>
    <x v="1"/>
    <s v="762558OTK-WA3772"/>
    <n v="33111"/>
    <n v="561.24"/>
  </r>
  <r>
    <x v="44"/>
    <x v="5"/>
    <x v="8"/>
    <s v="762558OTK-WA3772"/>
    <n v="33111"/>
    <n v="361.42"/>
  </r>
  <r>
    <x v="45"/>
    <x v="6"/>
    <x v="1"/>
    <s v="39JCYZ-WA8848"/>
    <n v="70840"/>
    <n v="351.65"/>
  </r>
  <r>
    <x v="46"/>
    <x v="1"/>
    <x v="6"/>
    <s v="8192CMQANY-WA8475"/>
    <n v="106114"/>
    <n v="571.77"/>
  </r>
  <r>
    <x v="46"/>
    <x v="7"/>
    <x v="1"/>
    <s v="999608FFD-WA435"/>
    <n v="104710"/>
    <n v="379.69"/>
  </r>
  <r>
    <x v="47"/>
    <x v="3"/>
    <x v="10"/>
    <s v="147838FZCW-WA358"/>
    <n v="62775"/>
    <n v="287.25"/>
  </r>
  <r>
    <x v="48"/>
    <x v="7"/>
    <x v="1"/>
    <s v="296SRULTU-ID5186"/>
    <n v="11642"/>
    <n v="333.8"/>
  </r>
  <r>
    <x v="49"/>
    <x v="5"/>
    <x v="8"/>
    <s v="999608FFD-WA435"/>
    <n v="104710"/>
    <n v="491.56"/>
  </r>
  <r>
    <x v="50"/>
    <x v="0"/>
    <x v="16"/>
    <s v="1FJH-OR6296"/>
    <n v="94111"/>
    <n v="467.33"/>
  </r>
  <r>
    <x v="51"/>
    <x v="4"/>
    <x v="9"/>
    <s v="1XBLBL-ID4830"/>
    <n v="31839"/>
    <n v="491.68"/>
  </r>
  <r>
    <x v="52"/>
    <x v="7"/>
    <x v="1"/>
    <s v="3OGLPHJ-WA9309"/>
    <n v="8459"/>
    <n v="589.15"/>
  </r>
  <r>
    <x v="53"/>
    <x v="5"/>
    <x v="8"/>
    <s v="19452CD-CA7669"/>
    <n v="25722"/>
    <n v="566.11"/>
  </r>
  <r>
    <x v="54"/>
    <x v="4"/>
    <x v="9"/>
    <s v="1347ORB-ID872"/>
    <n v="81438"/>
    <n v="590.13"/>
  </r>
  <r>
    <x v="54"/>
    <x v="3"/>
    <x v="10"/>
    <s v="577EJEFZQE-WA765"/>
    <n v="36022"/>
    <n v="498.65"/>
  </r>
  <r>
    <x v="55"/>
    <x v="3"/>
    <x v="10"/>
    <s v="32TBZV-CA6021"/>
    <n v="69651"/>
    <n v="506.8"/>
  </r>
  <r>
    <x v="55"/>
    <x v="3"/>
    <x v="10"/>
    <s v="870166FDADF-ID1007"/>
    <n v="36655"/>
    <n v="428.5"/>
  </r>
  <r>
    <x v="56"/>
    <x v="0"/>
    <x v="16"/>
    <s v="1FJH-OR6296"/>
    <n v="94111"/>
    <n v="582.57000000000005"/>
  </r>
  <r>
    <x v="57"/>
    <x v="6"/>
    <x v="1"/>
    <s v="577EJEFZQE-WA765"/>
    <n v="36022"/>
    <n v="369.27"/>
  </r>
  <r>
    <x v="58"/>
    <x v="5"/>
    <x v="8"/>
    <s v="1FJH-OR6296"/>
    <n v="94111"/>
    <n v="496.14"/>
  </r>
  <r>
    <x v="59"/>
    <x v="3"/>
    <x v="10"/>
    <s v="1FJH-OR6296"/>
    <n v="94111"/>
    <n v="591.48"/>
  </r>
  <r>
    <x v="59"/>
    <x v="0"/>
    <x v="16"/>
    <s v="3OGLPHJ-WA9309"/>
    <n v="8459"/>
    <n v="452.58"/>
  </r>
  <r>
    <x v="60"/>
    <x v="7"/>
    <x v="1"/>
    <s v="1UONZ-OR2984"/>
    <n v="104812"/>
    <n v="505.68"/>
  </r>
  <r>
    <x v="60"/>
    <x v="4"/>
    <x v="9"/>
    <s v="1347ORB-ID872"/>
    <n v="81438"/>
    <n v="443.57"/>
  </r>
  <r>
    <x v="60"/>
    <x v="5"/>
    <x v="8"/>
    <s v="19452CD-CA7669"/>
    <n v="25722"/>
    <n v="283.99"/>
  </r>
  <r>
    <x v="60"/>
    <x v="7"/>
    <x v="1"/>
    <s v="1XBLBL-ID4830"/>
    <n v="31839"/>
    <n v="278.02999999999997"/>
  </r>
  <r>
    <x v="61"/>
    <x v="7"/>
    <x v="1"/>
    <s v="50143XGQA-CA3579"/>
    <n v="108768"/>
    <n v="293.11"/>
  </r>
  <r>
    <x v="62"/>
    <x v="3"/>
    <x v="10"/>
    <s v="1DX-ID9772"/>
    <n v="98583"/>
    <n v="320.86"/>
  </r>
  <r>
    <x v="63"/>
    <x v="4"/>
    <x v="9"/>
    <s v="1UONZ-OR2984"/>
    <n v="106831"/>
    <n v="302.24"/>
  </r>
  <r>
    <x v="64"/>
    <x v="2"/>
    <x v="11"/>
    <s v="1DX-ID9772"/>
    <n v="98583"/>
    <n v="502.24"/>
  </r>
  <r>
    <x v="65"/>
    <x v="5"/>
    <x v="8"/>
    <s v="9AFGIQVA-WA7765"/>
    <n v="76150"/>
    <n v="469.2"/>
  </r>
  <r>
    <x v="66"/>
    <x v="0"/>
    <x v="16"/>
    <s v="91FQMBBZE-WA2019"/>
    <n v="56553"/>
    <n v="351.71"/>
  </r>
  <r>
    <x v="66"/>
    <x v="7"/>
    <x v="1"/>
    <s v="97922PZ-WA6718"/>
    <n v="46387"/>
    <n v="574.88"/>
  </r>
  <r>
    <x v="67"/>
    <x v="0"/>
    <x v="16"/>
    <s v="190245N-CA8497"/>
    <n v="70653"/>
    <n v="561.58000000000004"/>
  </r>
  <r>
    <x v="68"/>
    <x v="0"/>
    <x v="16"/>
    <s v="1UONZ-OR2984"/>
    <n v="106831"/>
    <n v="276.25"/>
  </r>
  <r>
    <x v="69"/>
    <x v="5"/>
    <x v="8"/>
    <s v="242XZR-ID4349"/>
    <n v="27883"/>
    <n v="279.86"/>
  </r>
  <r>
    <x v="70"/>
    <x v="7"/>
    <x v="1"/>
    <s v="44151Q-WA1957"/>
    <n v="38754"/>
    <n v="529.17999999999995"/>
  </r>
  <r>
    <x v="71"/>
    <x v="5"/>
    <x v="8"/>
    <s v="9AFGIQVA-WA7765"/>
    <n v="78169"/>
    <n v="568.79"/>
  </r>
  <r>
    <x v="72"/>
    <x v="5"/>
    <x v="8"/>
    <s v="8192CMQANY-WA8475"/>
    <n v="110152"/>
    <n v="310.06"/>
  </r>
  <r>
    <x v="73"/>
    <x v="7"/>
    <x v="1"/>
    <s v="242XZR-ID4349"/>
    <n v="29902"/>
    <n v="584.17999999999995"/>
  </r>
  <r>
    <x v="74"/>
    <x v="1"/>
    <x v="6"/>
    <s v="296SRULTU-ID5186"/>
    <n v="15680"/>
    <n v="467.46"/>
  </r>
  <r>
    <x v="75"/>
    <x v="3"/>
    <x v="10"/>
    <s v="19452CD-CA7669"/>
    <n v="29760"/>
    <n v="352.22"/>
  </r>
  <r>
    <x v="75"/>
    <x v="2"/>
    <x v="11"/>
    <s v="32TBZV-CA6021"/>
    <n v="73689"/>
    <n v="431.63"/>
  </r>
  <r>
    <x v="76"/>
    <x v="1"/>
    <x v="6"/>
    <s v="762558OTK-WA3772"/>
    <n v="37149"/>
    <n v="533.26"/>
  </r>
  <r>
    <x v="77"/>
    <x v="6"/>
    <x v="1"/>
    <s v="577EJEFZQE-WA765"/>
    <n v="40060"/>
    <n v="545.41999999999996"/>
  </r>
  <r>
    <x v="77"/>
    <x v="2"/>
    <x v="11"/>
    <s v="5258LEKROJV-OR1076"/>
    <n v="53915"/>
    <n v="472.7"/>
  </r>
  <r>
    <x v="77"/>
    <x v="3"/>
    <x v="10"/>
    <s v="19452CD-CA7669"/>
    <n v="29760"/>
    <n v="475.18"/>
  </r>
  <r>
    <x v="78"/>
    <x v="5"/>
    <x v="8"/>
    <s v="44151Q-WA1957"/>
    <n v="38754"/>
    <n v="483.8"/>
  </r>
  <r>
    <x v="79"/>
    <x v="7"/>
    <x v="1"/>
    <s v="870166FDADF-ID1007"/>
    <n v="40693"/>
    <n v="381.48"/>
  </r>
  <r>
    <x v="79"/>
    <x v="5"/>
    <x v="8"/>
    <s v="39JCYZ-WA8848"/>
    <n v="74878"/>
    <n v="268.58999999999997"/>
  </r>
  <r>
    <x v="79"/>
    <x v="5"/>
    <x v="8"/>
    <s v="50143XGQA-CA3579"/>
    <n v="110787"/>
    <n v="481.99"/>
  </r>
  <r>
    <x v="80"/>
    <x v="0"/>
    <x v="16"/>
    <s v="999608FFD-WA435"/>
    <n v="108748"/>
    <n v="322.77999999999997"/>
  </r>
  <r>
    <x v="81"/>
    <x v="3"/>
    <x v="10"/>
    <s v="19452CD-CA7669"/>
    <n v="29760"/>
    <n v="352.08"/>
  </r>
  <r>
    <x v="81"/>
    <x v="5"/>
    <x v="8"/>
    <s v="598TAPRYGI-OR1909"/>
    <n v="95798"/>
    <n v="388.24"/>
  </r>
  <r>
    <x v="82"/>
    <x v="2"/>
    <x v="11"/>
    <s v="598TAPRYGI-OR1909"/>
    <n v="95798"/>
    <n v="553.99"/>
  </r>
  <r>
    <x v="83"/>
    <x v="3"/>
    <x v="10"/>
    <s v="242XZR-ID4349"/>
    <n v="29902"/>
    <n v="403.96"/>
  </r>
  <r>
    <x v="84"/>
    <x v="1"/>
    <x v="6"/>
    <s v="1347ORB-ID872"/>
    <n v="85476"/>
    <n v="376.82"/>
  </r>
  <r>
    <x v="84"/>
    <x v="7"/>
    <x v="1"/>
    <s v="1347ORB-ID872"/>
    <n v="85476"/>
    <n v="287.51"/>
  </r>
  <r>
    <x v="84"/>
    <x v="0"/>
    <x v="16"/>
    <s v="91FQMBBZE-WA2019"/>
    <n v="58572"/>
    <n v="267.58"/>
  </r>
  <r>
    <x v="85"/>
    <x v="3"/>
    <x v="10"/>
    <s v="695219WXLYQW-OR1043"/>
    <n v="82688"/>
    <n v="556.46"/>
  </r>
  <r>
    <x v="86"/>
    <x v="5"/>
    <x v="17"/>
    <s v="3M-NV4154"/>
    <n v="33027"/>
    <n v="24.92"/>
  </r>
  <r>
    <x v="87"/>
    <x v="3"/>
    <x v="18"/>
    <s v="44151Q-WA1957"/>
    <n v="40773"/>
    <n v="17.170000000000002"/>
  </r>
  <r>
    <x v="88"/>
    <x v="0"/>
    <x v="11"/>
    <s v="147838FZCW-WA358"/>
    <n v="68832"/>
    <n v="20.190000000000001"/>
  </r>
  <r>
    <x v="89"/>
    <x v="4"/>
    <x v="16"/>
    <s v="7NG-OR6856"/>
    <n v="30122"/>
    <n v="19"/>
  </r>
  <r>
    <x v="89"/>
    <x v="1"/>
    <x v="13"/>
    <s v="5258LEKROJV-OR1076"/>
    <n v="55934"/>
    <n v="11.2"/>
  </r>
  <r>
    <x v="90"/>
    <x v="3"/>
    <x v="18"/>
    <s v="7885WDG-CA5337"/>
    <n v="30945"/>
    <n v="11.11"/>
  </r>
  <r>
    <x v="91"/>
    <x v="0"/>
    <x v="11"/>
    <s v="147838FZCW-WA358"/>
    <n v="68832"/>
    <n v="22.07"/>
  </r>
  <r>
    <x v="91"/>
    <x v="6"/>
    <x v="19"/>
    <s v="147838FZCW-WA358"/>
    <n v="68832"/>
    <n v="17.29"/>
  </r>
  <r>
    <x v="92"/>
    <x v="5"/>
    <x v="17"/>
    <s v="870166FDADF-ID1007"/>
    <n v="42712"/>
    <n v="16.829999999999998"/>
  </r>
  <r>
    <x v="92"/>
    <x v="0"/>
    <x v="11"/>
    <s v="695219WXLYQW-OR1043"/>
    <n v="84707"/>
    <n v="17.05"/>
  </r>
  <r>
    <x v="92"/>
    <x v="2"/>
    <x v="20"/>
    <s v="999608FFD-WA435"/>
    <n v="110767"/>
    <n v="25.85"/>
  </r>
  <r>
    <x v="92"/>
    <x v="1"/>
    <x v="13"/>
    <s v="577EJEFZQE-WA765"/>
    <n v="42079"/>
    <n v="15.65"/>
  </r>
  <r>
    <x v="93"/>
    <x v="0"/>
    <x v="11"/>
    <s v="1UONZ-OR2984"/>
    <n v="110869"/>
    <n v="15.5"/>
  </r>
  <r>
    <x v="93"/>
    <x v="2"/>
    <x v="20"/>
    <s v="97922PZ-WA6718"/>
    <n v="50425"/>
    <n v="16.03"/>
  </r>
  <r>
    <x v="94"/>
    <x v="0"/>
    <x v="11"/>
    <s v="870166FDADF-ID1007"/>
    <n v="42712"/>
    <n v="13.28"/>
  </r>
  <r>
    <x v="95"/>
    <x v="5"/>
    <x v="17"/>
    <s v="870166FDADF-ID1007"/>
    <n v="42712"/>
    <n v="24.51"/>
  </r>
  <r>
    <x v="95"/>
    <x v="3"/>
    <x v="18"/>
    <s v="695219WXLYQW-OR1043"/>
    <n v="84707"/>
    <n v="26.04"/>
  </r>
  <r>
    <x v="95"/>
    <x v="7"/>
    <x v="20"/>
    <s v="781XCLQGF-OR2149"/>
    <n v="112110"/>
    <n v="23.63"/>
  </r>
  <r>
    <x v="95"/>
    <x v="0"/>
    <x v="11"/>
    <s v="44151Q-WA1957"/>
    <n v="40773"/>
    <n v="16.91"/>
  </r>
  <r>
    <x v="96"/>
    <x v="5"/>
    <x v="17"/>
    <s v="19452CD-CA7669"/>
    <n v="31779"/>
    <n v="22.75"/>
  </r>
  <r>
    <x v="96"/>
    <x v="3"/>
    <x v="18"/>
    <s v="3M-NV4154"/>
    <n v="33027"/>
    <n v="11.18"/>
  </r>
  <r>
    <x v="96"/>
    <x v="1"/>
    <x v="13"/>
    <s v="870166FDADF-ID1007"/>
    <n v="42712"/>
    <n v="15.56"/>
  </r>
  <r>
    <x v="97"/>
    <x v="1"/>
    <x v="13"/>
    <s v="7885WDG-CA5337"/>
    <n v="30945"/>
    <n v="12.35"/>
  </r>
  <r>
    <x v="98"/>
    <x v="6"/>
    <x v="19"/>
    <s v="1347ORB-ID872"/>
    <n v="87495"/>
    <n v="20.260000000000002"/>
  </r>
  <r>
    <x v="99"/>
    <x v="5"/>
    <x v="17"/>
    <s v="1XBLBL-ID4830"/>
    <n v="37896"/>
    <n v="14.19"/>
  </r>
  <r>
    <x v="99"/>
    <x v="0"/>
    <x v="11"/>
    <s v="1UONZ-OR2984"/>
    <n v="110869"/>
    <n v="14.18"/>
  </r>
  <r>
    <x v="99"/>
    <x v="7"/>
    <x v="20"/>
    <s v="999608FFD-WA435"/>
    <n v="110767"/>
    <n v="17.62"/>
  </r>
  <r>
    <x v="100"/>
    <x v="1"/>
    <x v="13"/>
    <s v="7NG-OR6856"/>
    <n v="30122"/>
    <n v="19.28"/>
  </r>
  <r>
    <x v="100"/>
    <x v="0"/>
    <x v="11"/>
    <s v="44151Q-WA1957"/>
    <n v="40773"/>
    <n v="20.149999999999999"/>
  </r>
  <r>
    <x v="101"/>
    <x v="4"/>
    <x v="16"/>
    <s v="50143XGQA-CA3579"/>
    <n v="112806"/>
    <n v="19.07"/>
  </r>
  <r>
    <x v="101"/>
    <x v="0"/>
    <x v="11"/>
    <s v="1347ORB-ID872"/>
    <n v="87495"/>
    <n v="12.43"/>
  </r>
  <r>
    <x v="102"/>
    <x v="3"/>
    <x v="18"/>
    <s v="870166FDADF-ID1007"/>
    <n v="42712"/>
    <n v="23.96"/>
  </r>
  <r>
    <x v="103"/>
    <x v="0"/>
    <x v="11"/>
    <s v="1XBLBL-ID4830"/>
    <n v="37896"/>
    <n v="25.76"/>
  </r>
  <r>
    <x v="104"/>
    <x v="3"/>
    <x v="18"/>
    <s v="1DX-ID9772"/>
    <n v="104640"/>
    <n v="73.41"/>
  </r>
  <r>
    <x v="104"/>
    <x v="2"/>
    <x v="20"/>
    <s v="1347ORB-ID872"/>
    <n v="89514"/>
    <n v="25.54"/>
  </r>
  <r>
    <x v="104"/>
    <x v="1"/>
    <x v="13"/>
    <s v="32TBZV-CA6021"/>
    <n v="77727"/>
    <n v="106.12"/>
  </r>
  <r>
    <x v="105"/>
    <x v="3"/>
    <x v="18"/>
    <s v="3OGLPHJ-WA9309"/>
    <n v="16535"/>
    <n v="134.96"/>
  </r>
  <r>
    <x v="106"/>
    <x v="6"/>
    <x v="19"/>
    <s v="762558OTK-WA3772"/>
    <n v="41187"/>
    <n v="76.53"/>
  </r>
  <r>
    <x v="107"/>
    <x v="4"/>
    <x v="16"/>
    <s v="44151Q-WA1957"/>
    <n v="42792"/>
    <n v="118.64"/>
  </r>
  <r>
    <x v="108"/>
    <x v="7"/>
    <x v="20"/>
    <s v="91FQMBBZE-WA2019"/>
    <n v="62610"/>
    <n v="151.69"/>
  </r>
  <r>
    <x v="109"/>
    <x v="7"/>
    <x v="20"/>
    <s v="781XCLQGF-OR2149"/>
    <n v="114129"/>
    <n v="108.8"/>
  </r>
  <r>
    <x v="109"/>
    <x v="5"/>
    <x v="17"/>
    <s v="190245N-CA8497"/>
    <n v="76710"/>
    <n v="147.62"/>
  </r>
  <r>
    <x v="110"/>
    <x v="1"/>
    <x v="13"/>
    <s v="7NG-OR6856"/>
    <n v="32141"/>
    <n v="128.46"/>
  </r>
  <r>
    <x v="110"/>
    <x v="5"/>
    <x v="17"/>
    <s v="5258LEKROJV-OR1076"/>
    <n v="57953"/>
    <n v="110.34"/>
  </r>
  <r>
    <x v="111"/>
    <x v="3"/>
    <x v="18"/>
    <s v="44151Q-WA1957"/>
    <n v="42792"/>
    <n v="152.26"/>
  </r>
  <r>
    <x v="112"/>
    <x v="6"/>
    <x v="19"/>
    <s v="91FQMBBZE-WA2019"/>
    <n v="62610"/>
    <n v="15.54"/>
  </r>
  <r>
    <x v="113"/>
    <x v="0"/>
    <x v="11"/>
    <s v="781XCLQGF-OR2149"/>
    <n v="114129"/>
    <n v="58.15"/>
  </r>
  <r>
    <x v="114"/>
    <x v="1"/>
    <x v="13"/>
    <s v="9AFGIQVA-WA7765"/>
    <n v="82207"/>
    <n v="36.19"/>
  </r>
  <r>
    <x v="115"/>
    <x v="7"/>
    <x v="20"/>
    <s v="999608FFD-WA435"/>
    <n v="112786"/>
    <n v="40.35"/>
  </r>
  <r>
    <x v="116"/>
    <x v="3"/>
    <x v="18"/>
    <s v="1XBLBL-ID4830"/>
    <n v="39915"/>
    <n v="20.5"/>
  </r>
  <r>
    <x v="116"/>
    <x v="7"/>
    <x v="20"/>
    <s v="3OGLPHJ-WA9309"/>
    <n v="16535"/>
    <n v="126.54"/>
  </r>
  <r>
    <x v="117"/>
    <x v="0"/>
    <x v="11"/>
    <s v="91FQMBBZE-WA2019"/>
    <n v="62610"/>
    <n v="62.66"/>
  </r>
  <r>
    <x v="118"/>
    <x v="0"/>
    <x v="11"/>
    <s v="1XBLBL-ID4830"/>
    <n v="39915"/>
    <n v="9.7899999999999991"/>
  </r>
  <r>
    <x v="119"/>
    <x v="4"/>
    <x v="16"/>
    <s v="8192CMQANY-WA8475"/>
    <n v="114190"/>
    <n v="120.48"/>
  </r>
  <r>
    <x v="120"/>
    <x v="3"/>
    <x v="10"/>
    <s v="147838FZCW-WA358"/>
    <n v="72870"/>
    <n v="21.9"/>
  </r>
  <r>
    <x v="121"/>
    <x v="0"/>
    <x v="16"/>
    <s v="7NG-OR6856"/>
    <n v="34160"/>
    <n v="43.87"/>
  </r>
  <r>
    <x v="122"/>
    <x v="5"/>
    <x v="8"/>
    <s v="1XBLBL-ID4830"/>
    <n v="41934"/>
    <n v="40.03"/>
  </r>
  <r>
    <x v="122"/>
    <x v="1"/>
    <x v="6"/>
    <s v="999608FFD-WA435"/>
    <n v="114805"/>
    <n v="49.65"/>
  </r>
  <r>
    <x v="123"/>
    <x v="7"/>
    <x v="1"/>
    <s v="8192CMQANY-WA8475"/>
    <n v="116209"/>
    <n v="24.07"/>
  </r>
  <r>
    <x v="123"/>
    <x v="5"/>
    <x v="8"/>
    <s v="1UONZ-OR2984"/>
    <n v="114907"/>
    <n v="38.26"/>
  </r>
  <r>
    <x v="123"/>
    <x v="4"/>
    <x v="9"/>
    <s v="39JCYZ-WA8848"/>
    <n v="80935"/>
    <n v="42.58"/>
  </r>
  <r>
    <x v="124"/>
    <x v="5"/>
    <x v="8"/>
    <s v="97922PZ-WA6718"/>
    <n v="54463"/>
    <n v="59.86"/>
  </r>
  <r>
    <x v="125"/>
    <x v="3"/>
    <x v="10"/>
    <s v="9AFGIQVA-WA7765"/>
    <n v="84226"/>
    <n v="51.65"/>
  </r>
  <r>
    <x v="125"/>
    <x v="3"/>
    <x v="10"/>
    <s v="7885WDG-CA5337"/>
    <n v="34983"/>
    <n v="22.31"/>
  </r>
  <r>
    <x v="126"/>
    <x v="4"/>
    <x v="9"/>
    <s v="147838FZCW-WA358"/>
    <n v="72870"/>
    <n v="55.07"/>
  </r>
  <r>
    <x v="126"/>
    <x v="7"/>
    <x v="1"/>
    <s v="3M-NV4154"/>
    <n v="37065"/>
    <n v="46.78"/>
  </r>
  <r>
    <x v="127"/>
    <x v="6"/>
    <x v="1"/>
    <s v="999608FFD-WA435"/>
    <n v="114805"/>
    <n v="27.88"/>
  </r>
  <r>
    <x v="128"/>
    <x v="3"/>
    <x v="10"/>
    <s v="1XBLBL-ID4830"/>
    <n v="41934"/>
    <n v="45.95"/>
  </r>
  <r>
    <x v="129"/>
    <x v="5"/>
    <x v="8"/>
    <s v="242XZR-ID4349"/>
    <n v="35959"/>
    <n v="54.65"/>
  </r>
  <r>
    <x v="130"/>
    <x v="3"/>
    <x v="10"/>
    <s v="39JCYZ-WA8848"/>
    <n v="80935"/>
    <n v="54.09"/>
  </r>
  <r>
    <x v="131"/>
    <x v="1"/>
    <x v="6"/>
    <s v="91FQMBBZE-WA2019"/>
    <n v="64629"/>
    <n v="55.43"/>
  </r>
  <r>
    <x v="132"/>
    <x v="3"/>
    <x v="10"/>
    <s v="44151Q-WA1957"/>
    <n v="44811"/>
    <n v="31.02"/>
  </r>
  <r>
    <x v="133"/>
    <x v="3"/>
    <x v="10"/>
    <s v="781XCLQGF-OR2149"/>
    <n v="116148"/>
    <n v="43.13"/>
  </r>
  <r>
    <x v="134"/>
    <x v="1"/>
    <x v="6"/>
    <s v="762558OTK-WA3772"/>
    <n v="43206"/>
    <n v="50.76"/>
  </r>
  <r>
    <x v="134"/>
    <x v="7"/>
    <x v="1"/>
    <s v="1347ORB-ID872"/>
    <n v="91533"/>
    <n v="25.83"/>
  </r>
  <r>
    <x v="134"/>
    <x v="3"/>
    <x v="10"/>
    <s v="1DX-ID9772"/>
    <n v="106659"/>
    <n v="51.11"/>
  </r>
  <r>
    <x v="135"/>
    <x v="4"/>
    <x v="9"/>
    <s v="242XZR-ID4349"/>
    <n v="35959"/>
    <n v="42.99"/>
  </r>
  <r>
    <x v="136"/>
    <x v="6"/>
    <x v="1"/>
    <s v="1DX-ID9772"/>
    <n v="106659"/>
    <n v="34.21"/>
  </r>
  <r>
    <x v="137"/>
    <x v="6"/>
    <x v="1"/>
    <s v="97922PZ-WA6718"/>
    <n v="54463"/>
    <n v="41.43"/>
  </r>
  <r>
    <x v="138"/>
    <x v="3"/>
    <x v="10"/>
    <s v="3OGLPHJ-WA9309"/>
    <n v="18554"/>
    <n v="51.3"/>
  </r>
  <r>
    <x v="139"/>
    <x v="2"/>
    <x v="11"/>
    <s v="1XBLBL-ID4830"/>
    <n v="41934"/>
    <n v="21.13"/>
  </r>
  <r>
    <x v="139"/>
    <x v="7"/>
    <x v="1"/>
    <s v="7NG-OR6856"/>
    <n v="34160"/>
    <n v="39.64"/>
  </r>
  <r>
    <x v="139"/>
    <x v="5"/>
    <x v="8"/>
    <s v="190245N-CA8497"/>
    <n v="78729"/>
    <n v="51.65"/>
  </r>
  <r>
    <x v="140"/>
    <x v="0"/>
    <x v="16"/>
    <s v="3OGLPHJ-WA9309"/>
    <n v="18554"/>
    <n v="53.8"/>
  </r>
  <r>
    <x v="140"/>
    <x v="3"/>
    <x v="10"/>
    <s v="32TBZV-CA6021"/>
    <n v="79746"/>
    <n v="21.04"/>
  </r>
  <r>
    <x v="140"/>
    <x v="7"/>
    <x v="1"/>
    <s v="3OGLPHJ-WA9309"/>
    <n v="18554"/>
    <n v="23.78"/>
  </r>
  <r>
    <x v="141"/>
    <x v="2"/>
    <x v="16"/>
    <s v="781XCLQGF-OR2149"/>
    <n v="118167"/>
    <n v="760.72"/>
  </r>
  <r>
    <x v="142"/>
    <x v="6"/>
    <x v="13"/>
    <s v="695219WXLYQW-OR1043"/>
    <n v="90764"/>
    <n v="468.72"/>
  </r>
  <r>
    <x v="143"/>
    <x v="7"/>
    <x v="6"/>
    <s v="598TAPRYGI-OR1909"/>
    <n v="103874"/>
    <n v="367.81"/>
  </r>
  <r>
    <x v="144"/>
    <x v="4"/>
    <x v="21"/>
    <s v="19452CD-CA7669"/>
    <n v="37836"/>
    <n v="198.96"/>
  </r>
  <r>
    <x v="145"/>
    <x v="0"/>
    <x v="14"/>
    <s v="50143XGQA-CA3579"/>
    <n v="118863"/>
    <n v="631.39"/>
  </r>
  <r>
    <x v="146"/>
    <x v="0"/>
    <x v="14"/>
    <s v="1FJH-OR6296"/>
    <n v="106225"/>
    <n v="115.3"/>
  </r>
  <r>
    <x v="147"/>
    <x v="2"/>
    <x v="16"/>
    <s v="1FJH-OR6296"/>
    <n v="106225"/>
    <n v="322.33999999999997"/>
  </r>
  <r>
    <x v="148"/>
    <x v="0"/>
    <x v="14"/>
    <s v="3OGLPHJ-WA9309"/>
    <n v="20573"/>
    <n v="1192.74"/>
  </r>
  <r>
    <x v="148"/>
    <x v="5"/>
    <x v="12"/>
    <s v="870166FDADF-ID1007"/>
    <n v="48769"/>
    <n v="261.49"/>
  </r>
  <r>
    <x v="149"/>
    <x v="3"/>
    <x v="8"/>
    <s v="190245N-CA8497"/>
    <n v="80748"/>
    <n v="329.88"/>
  </r>
  <r>
    <x v="149"/>
    <x v="0"/>
    <x v="14"/>
    <s v="190245N-CA8497"/>
    <n v="80748"/>
    <n v="573.23"/>
  </r>
  <r>
    <x v="150"/>
    <x v="1"/>
    <x v="15"/>
    <s v="5258LEKROJV-OR1076"/>
    <n v="61991"/>
    <n v="54.2"/>
  </r>
  <r>
    <x v="151"/>
    <x v="5"/>
    <x v="12"/>
    <s v="577EJEFZQE-WA765"/>
    <n v="48136"/>
    <n v="1217.44"/>
  </r>
  <r>
    <x v="151"/>
    <x v="7"/>
    <x v="6"/>
    <s v="1DX-ID9772"/>
    <n v="108678"/>
    <n v="101.54"/>
  </r>
  <r>
    <x v="152"/>
    <x v="7"/>
    <x v="6"/>
    <s v="50143XGQA-CA3579"/>
    <n v="118863"/>
    <n v="772.79"/>
  </r>
  <r>
    <x v="153"/>
    <x v="7"/>
    <x v="6"/>
    <s v="3M-NV4154"/>
    <n v="39084"/>
    <n v="318.26"/>
  </r>
  <r>
    <x v="154"/>
    <x v="2"/>
    <x v="16"/>
    <s v="1UONZ-OR2984"/>
    <n v="116926"/>
    <n v="317.99"/>
  </r>
  <r>
    <x v="154"/>
    <x v="4"/>
    <x v="21"/>
    <s v="1DX-ID9772"/>
    <n v="108678"/>
    <n v="774.05"/>
  </r>
  <r>
    <x v="155"/>
    <x v="3"/>
    <x v="3"/>
    <s v="598TAPRYGI-OR1909"/>
    <n v="105893"/>
    <n v="39.25"/>
  </r>
  <r>
    <x v="156"/>
    <x v="7"/>
    <x v="7"/>
    <s v="97922PZ-WA6718"/>
    <n v="58501"/>
    <n v="104.25"/>
  </r>
  <r>
    <x v="156"/>
    <x v="7"/>
    <x v="7"/>
    <s v="7NG-OR6856"/>
    <n v="38198"/>
    <n v="141.13"/>
  </r>
  <r>
    <x v="157"/>
    <x v="7"/>
    <x v="7"/>
    <s v="190245N-CA8497"/>
    <n v="82767"/>
    <n v="70.39"/>
  </r>
  <r>
    <x v="157"/>
    <x v="3"/>
    <x v="3"/>
    <s v="577EJEFZQE-WA765"/>
    <n v="50155"/>
    <n v="105.85"/>
  </r>
  <r>
    <x v="158"/>
    <x v="5"/>
    <x v="5"/>
    <s v="870166FDADF-ID1007"/>
    <n v="50788"/>
    <n v="34.93"/>
  </r>
  <r>
    <x v="159"/>
    <x v="7"/>
    <x v="7"/>
    <s v="8192CMQANY-WA8475"/>
    <n v="120247"/>
    <n v="49.86"/>
  </r>
  <r>
    <x v="160"/>
    <x v="3"/>
    <x v="3"/>
    <s v="3M-NV4154"/>
    <n v="41103"/>
    <n v="124.41"/>
  </r>
  <r>
    <x v="161"/>
    <x v="2"/>
    <x v="2"/>
    <s v="781XCLQGF-OR2149"/>
    <n v="120186"/>
    <n v="84.56"/>
  </r>
  <r>
    <x v="162"/>
    <x v="3"/>
    <x v="3"/>
    <s v="8192CMQANY-WA8475"/>
    <n v="120247"/>
    <n v="56.72"/>
  </r>
  <r>
    <x v="163"/>
    <x v="7"/>
    <x v="6"/>
    <s v="1XBLBL-ID4830"/>
    <n v="47991"/>
    <n v="11.48"/>
  </r>
  <r>
    <x v="164"/>
    <x v="5"/>
    <x v="12"/>
    <s v="1FJH-OR6296"/>
    <n v="110263"/>
    <n v="63.22"/>
  </r>
  <r>
    <x v="164"/>
    <x v="2"/>
    <x v="16"/>
    <s v="97922PZ-WA6718"/>
    <n v="60520"/>
    <n v="32.409999999999997"/>
  </r>
  <r>
    <x v="165"/>
    <x v="7"/>
    <x v="6"/>
    <s v="1XBLBL-ID4830"/>
    <n v="47991"/>
    <n v="58.35"/>
  </r>
  <r>
    <x v="166"/>
    <x v="2"/>
    <x v="16"/>
    <s v="577EJEFZQE-WA765"/>
    <n v="52174"/>
    <n v="118.77"/>
  </r>
  <r>
    <x v="167"/>
    <x v="6"/>
    <x v="13"/>
    <s v="8192CMQANY-WA8475"/>
    <n v="122266"/>
    <n v="18.809999999999999"/>
  </r>
  <r>
    <x v="168"/>
    <x v="7"/>
    <x v="6"/>
    <s v="147838FZCW-WA358"/>
    <n v="78927"/>
    <n v="80.400000000000006"/>
  </r>
  <r>
    <x v="169"/>
    <x v="5"/>
    <x v="12"/>
    <s v="19452CD-CA7669"/>
    <n v="41874"/>
    <n v="108.27"/>
  </r>
  <r>
    <x v="170"/>
    <x v="5"/>
    <x v="12"/>
    <s v="91FQMBBZE-WA2019"/>
    <n v="70686"/>
    <n v="34.270000000000003"/>
  </r>
  <r>
    <x v="171"/>
    <x v="1"/>
    <x v="15"/>
    <s v="39JCYZ-WA8848"/>
    <n v="86992"/>
    <n v="29.89"/>
  </r>
  <r>
    <x v="172"/>
    <x v="4"/>
    <x v="21"/>
    <s v="1347ORB-ID872"/>
    <n v="97590"/>
    <n v="84.16"/>
  </r>
  <r>
    <x v="173"/>
    <x v="1"/>
    <x v="15"/>
    <s v="870166FDADF-ID1007"/>
    <n v="52807"/>
    <n v="47.99"/>
  </r>
  <r>
    <x v="174"/>
    <x v="7"/>
    <x v="20"/>
    <s v="1XBLBL-ID4830"/>
    <n v="25783"/>
    <n v="49.98"/>
  </r>
  <r>
    <x v="175"/>
    <x v="3"/>
    <x v="18"/>
    <s v="50143XGQA-CA3579"/>
    <n v="100693"/>
    <n v="248.42"/>
  </r>
  <r>
    <x v="176"/>
    <x v="7"/>
    <x v="20"/>
    <s v="3OGLPHJ-WA9309"/>
    <n v="2403"/>
    <n v="246.6"/>
  </r>
  <r>
    <x v="177"/>
    <x v="5"/>
    <x v="17"/>
    <s v="762558OTK-WA3772"/>
    <n v="27055"/>
    <n v="31.25"/>
  </r>
  <r>
    <x v="178"/>
    <x v="0"/>
    <x v="11"/>
    <s v="695219WXLYQW-OR1043"/>
    <n v="72594"/>
    <n v="50.47"/>
  </r>
  <r>
    <x v="178"/>
    <x v="3"/>
    <x v="18"/>
    <s v="8192CMQANY-WA8475"/>
    <n v="100058"/>
    <n v="120.71"/>
  </r>
  <r>
    <x v="179"/>
    <x v="5"/>
    <x v="17"/>
    <s v="242XZR-ID4349"/>
    <n v="19808"/>
    <n v="136.36000000000001"/>
  </r>
  <r>
    <x v="179"/>
    <x v="7"/>
    <x v="20"/>
    <s v="1UONZ-OR2984"/>
    <n v="98756"/>
    <n v="95.54"/>
  </r>
  <r>
    <x v="180"/>
    <x v="1"/>
    <x v="13"/>
    <s v="3M-NV4154"/>
    <n v="20914"/>
    <n v="253.97"/>
  </r>
  <r>
    <x v="181"/>
    <x v="6"/>
    <x v="19"/>
    <s v="97922PZ-WA6718"/>
    <n v="38312"/>
    <n v="67.099999999999994"/>
  </r>
  <r>
    <x v="182"/>
    <x v="4"/>
    <x v="4"/>
    <s v="781XCLQGF-OR2149"/>
    <n v="102017"/>
    <n v="38.75"/>
  </r>
  <r>
    <x v="182"/>
    <x v="0"/>
    <x v="0"/>
    <s v="3M-NV4154"/>
    <n v="22934"/>
    <n v="72.709999999999994"/>
  </r>
  <r>
    <x v="183"/>
    <x v="0"/>
    <x v="0"/>
    <s v="8192CMQANY-WA8475"/>
    <n v="102078"/>
    <n v="20.49"/>
  </r>
  <r>
    <x v="184"/>
    <x v="3"/>
    <x v="3"/>
    <s v="999C-WA1204"/>
    <n v="15299"/>
    <n v="90.29"/>
  </r>
  <r>
    <x v="185"/>
    <x v="7"/>
    <x v="7"/>
    <s v="999C-WA1204"/>
    <n v="15299"/>
    <n v="6.38"/>
  </r>
  <r>
    <x v="186"/>
    <x v="1"/>
    <x v="1"/>
    <s v="999C-WA1204"/>
    <n v="15299"/>
    <n v="42.06"/>
  </r>
  <r>
    <x v="186"/>
    <x v="5"/>
    <x v="5"/>
    <s v="999C-WA1204"/>
    <n v="15299"/>
    <n v="58.38"/>
  </r>
  <r>
    <x v="186"/>
    <x v="1"/>
    <x v="1"/>
    <s v="91FQMBBZE-WA2019"/>
    <n v="50498"/>
    <n v="46.37"/>
  </r>
  <r>
    <x v="187"/>
    <x v="5"/>
    <x v="5"/>
    <s v="781XCLQGF-OR2149"/>
    <n v="102017"/>
    <n v="46.36"/>
  </r>
  <r>
    <x v="188"/>
    <x v="5"/>
    <x v="5"/>
    <s v="598TAPRYGI-OR1909"/>
    <n v="87724"/>
    <n v="68.05"/>
  </r>
  <r>
    <x v="189"/>
    <x v="7"/>
    <x v="7"/>
    <s v="1UONZ-OR2984"/>
    <n v="100776"/>
    <n v="29.07"/>
  </r>
  <r>
    <x v="190"/>
    <x v="5"/>
    <x v="5"/>
    <s v="3OGLPHJ-WA9309"/>
    <n v="4423"/>
    <n v="17.829999999999998"/>
  </r>
  <r>
    <x v="191"/>
    <x v="7"/>
    <x v="7"/>
    <s v="695219WXLYQW-OR1043"/>
    <n v="74614"/>
    <n v="88.75"/>
  </r>
  <r>
    <x v="191"/>
    <x v="3"/>
    <x v="3"/>
    <s v="190245N-CA8497"/>
    <n v="64598"/>
    <n v="95.94"/>
  </r>
  <r>
    <x v="192"/>
    <x v="7"/>
    <x v="7"/>
    <s v="999C-WA1204"/>
    <n v="15299"/>
    <n v="57.72"/>
  </r>
  <r>
    <x v="193"/>
    <x v="3"/>
    <x v="3"/>
    <s v="999C-WA1204"/>
    <n v="15299"/>
    <n v="84.28"/>
  </r>
  <r>
    <x v="194"/>
    <x v="7"/>
    <x v="6"/>
    <s v="1FJH-OR6296"/>
    <n v="92095"/>
    <n v="23.52"/>
  </r>
  <r>
    <x v="195"/>
    <x v="1"/>
    <x v="15"/>
    <s v="9AFGIQVA-WA7765"/>
    <n v="72115"/>
    <n v="88.17"/>
  </r>
  <r>
    <x v="195"/>
    <x v="1"/>
    <x v="15"/>
    <s v="999C-WA1204"/>
    <n v="17319"/>
    <n v="86.76"/>
  </r>
  <r>
    <x v="196"/>
    <x v="3"/>
    <x v="8"/>
    <s v="39JCYZ-WA8848"/>
    <n v="68824"/>
    <n v="95.16"/>
  </r>
  <r>
    <x v="196"/>
    <x v="1"/>
    <x v="15"/>
    <s v="32TBZV-CA6021"/>
    <n v="67635"/>
    <n v="77.3"/>
  </r>
  <r>
    <x v="197"/>
    <x v="6"/>
    <x v="13"/>
    <s v="999608FFD-WA435"/>
    <n v="102694"/>
    <n v="118.48"/>
  </r>
  <r>
    <x v="198"/>
    <x v="0"/>
    <x v="14"/>
    <s v="44151Q-WA1957"/>
    <n v="32700"/>
    <n v="3.93"/>
  </r>
  <r>
    <x v="199"/>
    <x v="4"/>
    <x v="21"/>
    <s v="781XCLQGF-OR2149"/>
    <n v="104037"/>
    <n v="89.77"/>
  </r>
  <r>
    <x v="200"/>
    <x v="1"/>
    <x v="15"/>
    <s v="97922PZ-WA6718"/>
    <n v="42352"/>
    <n v="88.91"/>
  </r>
  <r>
    <x v="200"/>
    <x v="0"/>
    <x v="14"/>
    <s v="598TAPRYGI-OR1909"/>
    <n v="89744"/>
    <n v="107.68"/>
  </r>
  <r>
    <x v="201"/>
    <x v="6"/>
    <x v="13"/>
    <s v="781XCLQGF-OR2149"/>
    <n v="104037"/>
    <n v="86.88"/>
  </r>
  <r>
    <x v="201"/>
    <x v="4"/>
    <x v="21"/>
    <s v="296SRULTU-ID5186"/>
    <n v="9626"/>
    <n v="109.9"/>
  </r>
  <r>
    <x v="202"/>
    <x v="5"/>
    <x v="12"/>
    <s v="1XBLBL-ID4830"/>
    <n v="29823"/>
    <n v="50.44"/>
  </r>
  <r>
    <x v="203"/>
    <x v="7"/>
    <x v="6"/>
    <s v="1UONZ-OR2984"/>
    <n v="102796"/>
    <n v="13.94"/>
  </r>
  <r>
    <x v="204"/>
    <x v="5"/>
    <x v="12"/>
    <s v="91FQMBBZE-WA2019"/>
    <n v="52518"/>
    <n v="99.49"/>
  </r>
  <r>
    <x v="205"/>
    <x v="3"/>
    <x v="8"/>
    <s v="1FJH-OR6296"/>
    <n v="92095"/>
    <n v="18.2"/>
  </r>
  <r>
    <x v="206"/>
    <x v="5"/>
    <x v="12"/>
    <s v="44151Q-WA1957"/>
    <n v="32700"/>
    <n v="38.51"/>
  </r>
  <r>
    <x v="206"/>
    <x v="4"/>
    <x v="21"/>
    <s v="999608FFD-WA435"/>
    <n v="102694"/>
    <n v="42.62"/>
  </r>
  <r>
    <x v="206"/>
    <x v="3"/>
    <x v="8"/>
    <s v="3M-NV4154"/>
    <n v="24954"/>
    <n v="15.73"/>
  </r>
  <r>
    <x v="207"/>
    <x v="0"/>
    <x v="14"/>
    <s v="147838FZCW-WA358"/>
    <n v="60759"/>
    <n v="114.43"/>
  </r>
  <r>
    <x v="207"/>
    <x v="5"/>
    <x v="12"/>
    <s v="5258LEKROJV-OR1076"/>
    <n v="47861"/>
    <n v="33.590000000000003"/>
  </r>
  <r>
    <x v="207"/>
    <x v="3"/>
    <x v="8"/>
    <s v="781XCLQGF-OR2149"/>
    <n v="104037"/>
    <n v="102.17"/>
  </r>
  <r>
    <x v="208"/>
    <x v="5"/>
    <x v="12"/>
    <s v="50143XGQA-CA3579"/>
    <n v="104733"/>
    <n v="25.75"/>
  </r>
  <r>
    <x v="208"/>
    <x v="0"/>
    <x v="14"/>
    <s v="147838FZCW-WA358"/>
    <n v="60759"/>
    <n v="111.19"/>
  </r>
  <r>
    <x v="209"/>
    <x v="7"/>
    <x v="6"/>
    <s v="44151Q-WA1957"/>
    <n v="32700"/>
    <n v="13.63"/>
  </r>
  <r>
    <x v="210"/>
    <x v="5"/>
    <x v="12"/>
    <s v="91FQMBBZE-WA2019"/>
    <n v="52518"/>
    <n v="66.540000000000006"/>
  </r>
  <r>
    <x v="211"/>
    <x v="0"/>
    <x v="16"/>
    <s v="999C-WA1204"/>
    <n v="19339"/>
    <n v="396.4"/>
  </r>
  <r>
    <x v="211"/>
    <x v="5"/>
    <x v="8"/>
    <s v="598TAPRYGI-OR1909"/>
    <n v="91764"/>
    <n v="138.82"/>
  </r>
  <r>
    <x v="212"/>
    <x v="0"/>
    <x v="16"/>
    <s v="3M-NV4154"/>
    <n v="26974"/>
    <n v="291.95"/>
  </r>
  <r>
    <x v="213"/>
    <x v="1"/>
    <x v="6"/>
    <s v="44151Q-WA1957"/>
    <n v="34720"/>
    <n v="293.12"/>
  </r>
  <r>
    <x v="214"/>
    <x v="2"/>
    <x v="11"/>
    <s v="781XCLQGF-OR2149"/>
    <n v="106057"/>
    <n v="790.06"/>
  </r>
  <r>
    <x v="215"/>
    <x v="0"/>
    <x v="16"/>
    <s v="1UONZ-OR2984"/>
    <n v="104816"/>
    <n v="319.77999999999997"/>
  </r>
  <r>
    <x v="216"/>
    <x v="0"/>
    <x v="16"/>
    <s v="781XCLQGF-OR2149"/>
    <n v="106057"/>
    <n v="990.93"/>
  </r>
  <r>
    <x v="217"/>
    <x v="3"/>
    <x v="10"/>
    <s v="598TAPRYGI-OR1909"/>
    <n v="91764"/>
    <n v="316.31"/>
  </r>
  <r>
    <x v="218"/>
    <x v="7"/>
    <x v="1"/>
    <s v="50143XGQA-CA3579"/>
    <n v="106753"/>
    <n v="91.09"/>
  </r>
  <r>
    <x v="219"/>
    <x v="2"/>
    <x v="11"/>
    <s v="50143XGQA-CA3579"/>
    <n v="106753"/>
    <n v="168"/>
  </r>
  <r>
    <x v="219"/>
    <x v="3"/>
    <x v="10"/>
    <s v="7NG-OR6856"/>
    <n v="24069"/>
    <n v="294.37"/>
  </r>
  <r>
    <x v="220"/>
    <x v="4"/>
    <x v="9"/>
    <s v="695219WXLYQW-OR1043"/>
    <n v="78654"/>
    <n v="651.16"/>
  </r>
  <r>
    <x v="221"/>
    <x v="6"/>
    <x v="1"/>
    <s v="3OGLPHJ-WA9309"/>
    <n v="8463"/>
    <n v="824.45"/>
  </r>
  <r>
    <x v="222"/>
    <x v="3"/>
    <x v="10"/>
    <s v="9AFGIQVA-WA7765"/>
    <n v="74135"/>
    <n v="268.86"/>
  </r>
  <r>
    <x v="222"/>
    <x v="3"/>
    <x v="10"/>
    <s v="577EJEFZQE-WA765"/>
    <n v="36026"/>
    <n v="380.99"/>
  </r>
  <r>
    <x v="222"/>
    <x v="1"/>
    <x v="6"/>
    <s v="695219WXLYQW-OR1043"/>
    <n v="78654"/>
    <n v="629.96"/>
  </r>
  <r>
    <x v="223"/>
    <x v="7"/>
    <x v="1"/>
    <s v="91FQMBBZE-WA2019"/>
    <n v="54538"/>
    <n v="1028.68"/>
  </r>
  <r>
    <x v="224"/>
    <x v="7"/>
    <x v="1"/>
    <s v="598TAPRYGI-OR1909"/>
    <n v="91764"/>
    <n v="420.52"/>
  </r>
  <r>
    <x v="224"/>
    <x v="6"/>
    <x v="1"/>
    <s v="577EJEFZQE-WA765"/>
    <n v="36026"/>
    <n v="1023.41"/>
  </r>
  <r>
    <x v="225"/>
    <x v="6"/>
    <x v="19"/>
    <s v="999608FFD-WA435"/>
    <n v="106734"/>
    <n v="96.92"/>
  </r>
  <r>
    <x v="226"/>
    <x v="7"/>
    <x v="20"/>
    <s v="3M-NV4154"/>
    <n v="28994"/>
    <n v="80.8"/>
  </r>
  <r>
    <x v="226"/>
    <x v="6"/>
    <x v="19"/>
    <s v="7885WDG-CA5337"/>
    <n v="26912"/>
    <n v="99.46"/>
  </r>
  <r>
    <x v="227"/>
    <x v="7"/>
    <x v="20"/>
    <s v="3M-NV4154"/>
    <n v="28994"/>
    <n v="108.15"/>
  </r>
  <r>
    <x v="228"/>
    <x v="1"/>
    <x v="13"/>
    <s v="999C-WA1204"/>
    <n v="21359"/>
    <n v="120.13"/>
  </r>
  <r>
    <x v="228"/>
    <x v="1"/>
    <x v="13"/>
    <s v="3M-NV4154"/>
    <n v="28994"/>
    <n v="82.65"/>
  </r>
  <r>
    <x v="229"/>
    <x v="5"/>
    <x v="17"/>
    <s v="32TBZV-CA6021"/>
    <n v="71675"/>
    <n v="108.16"/>
  </r>
  <r>
    <x v="229"/>
    <x v="0"/>
    <x v="11"/>
    <s v="1UONZ-OR2984"/>
    <n v="106836"/>
    <n v="72.680000000000007"/>
  </r>
  <r>
    <x v="230"/>
    <x v="3"/>
    <x v="18"/>
    <s v="190245N-CA8497"/>
    <n v="70658"/>
    <n v="125.57"/>
  </r>
  <r>
    <x v="231"/>
    <x v="2"/>
    <x v="20"/>
    <s v="8192CMQANY-WA8475"/>
    <n v="108138"/>
    <n v="101.97"/>
  </r>
  <r>
    <x v="231"/>
    <x v="4"/>
    <x v="16"/>
    <s v="147838FZCW-WA358"/>
    <n v="64799"/>
    <n v="68.709999999999994"/>
  </r>
  <r>
    <x v="232"/>
    <x v="0"/>
    <x v="11"/>
    <s v="8192CMQANY-WA8475"/>
    <n v="108138"/>
    <n v="93.89"/>
  </r>
  <r>
    <x v="233"/>
    <x v="4"/>
    <x v="16"/>
    <s v="781XCLQGF-OR2149"/>
    <n v="108077"/>
    <n v="103.81"/>
  </r>
  <r>
    <x v="234"/>
    <x v="2"/>
    <x v="20"/>
    <s v="8192CMQANY-WA8475"/>
    <n v="108138"/>
    <n v="107.51"/>
  </r>
  <r>
    <x v="234"/>
    <x v="5"/>
    <x v="17"/>
    <s v="19452CD-CA7669"/>
    <n v="27746"/>
    <n v="75.16"/>
  </r>
  <r>
    <x v="235"/>
    <x v="4"/>
    <x v="16"/>
    <s v="296SRULTU-ID5186"/>
    <n v="13666"/>
    <n v="108.33"/>
  </r>
  <r>
    <x v="236"/>
    <x v="3"/>
    <x v="18"/>
    <s v="1DX-ID9772"/>
    <n v="98588"/>
    <n v="120.72"/>
  </r>
  <r>
    <x v="237"/>
    <x v="7"/>
    <x v="6"/>
    <s v="147838FZCW-WA358"/>
    <n v="66819"/>
    <n v="106.69"/>
  </r>
  <r>
    <x v="237"/>
    <x v="2"/>
    <x v="16"/>
    <s v="9AFGIQVA-WA7765"/>
    <n v="78175"/>
    <n v="43.31"/>
  </r>
  <r>
    <x v="238"/>
    <x v="2"/>
    <x v="16"/>
    <s v="32TBZV-CA6021"/>
    <n v="73695"/>
    <n v="55.51"/>
  </r>
  <r>
    <x v="239"/>
    <x v="3"/>
    <x v="8"/>
    <s v="32TBZV-CA6021"/>
    <n v="73695"/>
    <n v="48.65"/>
  </r>
  <r>
    <x v="240"/>
    <x v="3"/>
    <x v="8"/>
    <s v="147838FZCW-WA358"/>
    <n v="66819"/>
    <n v="4.28"/>
  </r>
  <r>
    <x v="241"/>
    <x v="0"/>
    <x v="14"/>
    <s v="999608FFD-WA435"/>
    <n v="108754"/>
    <n v="83.69"/>
  </r>
  <r>
    <x v="242"/>
    <x v="1"/>
    <x v="15"/>
    <s v="50143XGQA-CA3579"/>
    <n v="110793"/>
    <n v="82.32"/>
  </r>
  <r>
    <x v="243"/>
    <x v="5"/>
    <x v="12"/>
    <s v="1UONZ-OR2984"/>
    <n v="108856"/>
    <n v="111.57"/>
  </r>
  <r>
    <x v="243"/>
    <x v="0"/>
    <x v="14"/>
    <s v="1XBLBL-ID4830"/>
    <n v="35883"/>
    <n v="46.26"/>
  </r>
  <r>
    <x v="244"/>
    <x v="4"/>
    <x v="21"/>
    <s v="1UONZ-OR2984"/>
    <n v="108856"/>
    <n v="8.33"/>
  </r>
  <r>
    <x v="245"/>
    <x v="2"/>
    <x v="16"/>
    <s v="296SRULTU-ID5186"/>
    <n v="15686"/>
    <n v="7.07"/>
  </r>
  <r>
    <x v="246"/>
    <x v="0"/>
    <x v="14"/>
    <s v="19452CD-CA7669"/>
    <n v="29766"/>
    <n v="67.069999999999993"/>
  </r>
  <r>
    <x v="246"/>
    <x v="3"/>
    <x v="8"/>
    <s v="3OGLPHJ-WA9309"/>
    <n v="12503"/>
    <n v="90.32"/>
  </r>
  <r>
    <x v="247"/>
    <x v="4"/>
    <x v="21"/>
    <s v="9AFGIQVA-WA7765"/>
    <n v="78175"/>
    <n v="112.54"/>
  </r>
  <r>
    <x v="248"/>
    <x v="3"/>
    <x v="8"/>
    <s v="1347ORB-ID872"/>
    <n v="85482"/>
    <n v="111.25"/>
  </r>
  <r>
    <x v="249"/>
    <x v="5"/>
    <x v="8"/>
    <s v="91FQMBBZE-WA2019"/>
    <n v="60598"/>
    <n v="62.26"/>
  </r>
  <r>
    <x v="250"/>
    <x v="0"/>
    <x v="16"/>
    <s v="781XCLQGF-OR2149"/>
    <n v="112117"/>
    <n v="137.30000000000001"/>
  </r>
  <r>
    <x v="251"/>
    <x v="1"/>
    <x v="6"/>
    <s v="8192CMQANY-WA8475"/>
    <n v="112178"/>
    <n v="128.38"/>
  </r>
  <r>
    <x v="252"/>
    <x v="0"/>
    <x v="16"/>
    <s v="598TAPRYGI-OR1909"/>
    <n v="97824"/>
    <n v="86.22"/>
  </r>
  <r>
    <x v="253"/>
    <x v="6"/>
    <x v="1"/>
    <s v="3M-NV4154"/>
    <n v="33034"/>
    <n v="43.74"/>
  </r>
  <r>
    <x v="253"/>
    <x v="4"/>
    <x v="9"/>
    <s v="190245N-CA8497"/>
    <n v="74698"/>
    <n v="218.08"/>
  </r>
  <r>
    <x v="254"/>
    <x v="0"/>
    <x v="16"/>
    <s v="695219WXLYQW-OR1043"/>
    <n v="84714"/>
    <n v="150.99"/>
  </r>
  <r>
    <x v="255"/>
    <x v="4"/>
    <x v="9"/>
    <s v="999C-WA1204"/>
    <n v="25399"/>
    <n v="226.07"/>
  </r>
  <r>
    <x v="256"/>
    <x v="4"/>
    <x v="9"/>
    <s v="1DX-ID9772"/>
    <n v="102628"/>
    <n v="64.02"/>
  </r>
  <r>
    <x v="257"/>
    <x v="3"/>
    <x v="10"/>
    <s v="577EJEFZQE-WA765"/>
    <n v="42086"/>
    <n v="54.46"/>
  </r>
  <r>
    <x v="257"/>
    <x v="5"/>
    <x v="8"/>
    <s v="91FQMBBZE-WA2019"/>
    <n v="60598"/>
    <n v="111.15"/>
  </r>
  <r>
    <x v="258"/>
    <x v="5"/>
    <x v="8"/>
    <s v="3M-NV4154"/>
    <n v="33034"/>
    <n v="140.83000000000001"/>
  </r>
  <r>
    <x v="258"/>
    <x v="3"/>
    <x v="10"/>
    <s v="1DX-ID9772"/>
    <n v="102628"/>
    <n v="181.08"/>
  </r>
  <r>
    <x v="259"/>
    <x v="5"/>
    <x v="8"/>
    <s v="1XBLBL-ID4830"/>
    <n v="37903"/>
    <n v="222.67"/>
  </r>
  <r>
    <x v="260"/>
    <x v="0"/>
    <x v="16"/>
    <s v="50143XGQA-CA3579"/>
    <n v="112813"/>
    <n v="170.71"/>
  </r>
  <r>
    <x v="261"/>
    <x v="5"/>
    <x v="8"/>
    <s v="9AFGIQVA-WA7765"/>
    <n v="80195"/>
    <n v="69.28"/>
  </r>
  <r>
    <x v="261"/>
    <x v="4"/>
    <x v="9"/>
    <s v="9AFGIQVA-WA7765"/>
    <n v="80195"/>
    <n v="205.42"/>
  </r>
  <r>
    <x v="262"/>
    <x v="1"/>
    <x v="6"/>
    <s v="7NG-OR6856"/>
    <n v="30129"/>
    <n v="169.33"/>
  </r>
  <r>
    <x v="262"/>
    <x v="0"/>
    <x v="16"/>
    <s v="3OGLPHJ-WA9309"/>
    <n v="14523"/>
    <n v="237.78"/>
  </r>
  <r>
    <x v="262"/>
    <x v="0"/>
    <x v="16"/>
    <s v="32TBZV-CA6021"/>
    <n v="75715"/>
    <n v="169.8"/>
  </r>
  <r>
    <x v="263"/>
    <x v="5"/>
    <x v="8"/>
    <s v="9AFGIQVA-WA7765"/>
    <n v="80195"/>
    <n v="136.21"/>
  </r>
  <r>
    <x v="264"/>
    <x v="3"/>
    <x v="10"/>
    <s v="8192CMQANY-WA8475"/>
    <n v="112178"/>
    <n v="5.64"/>
  </r>
  <r>
    <x v="265"/>
    <x v="7"/>
    <x v="1"/>
    <s v="870166FDADF-ID1007"/>
    <n v="44739"/>
    <n v="501.91"/>
  </r>
  <r>
    <x v="265"/>
    <x v="2"/>
    <x v="11"/>
    <s v="44151Q-WA1957"/>
    <n v="42800"/>
    <n v="348.78"/>
  </r>
  <r>
    <x v="266"/>
    <x v="4"/>
    <x v="9"/>
    <s v="190245N-CA8497"/>
    <n v="76718"/>
    <n v="434.34"/>
  </r>
  <r>
    <x v="267"/>
    <x v="3"/>
    <x v="10"/>
    <s v="242XZR-ID4349"/>
    <n v="33948"/>
    <n v="253.97"/>
  </r>
  <r>
    <x v="268"/>
    <x v="3"/>
    <x v="10"/>
    <s v="695219WXLYQW-OR1043"/>
    <n v="86734"/>
    <n v="367.16"/>
  </r>
  <r>
    <x v="269"/>
    <x v="5"/>
    <x v="8"/>
    <s v="3OGLPHJ-WA9309"/>
    <n v="16543"/>
    <n v="462.09"/>
  </r>
  <r>
    <x v="270"/>
    <x v="3"/>
    <x v="10"/>
    <s v="762558OTK-WA3772"/>
    <n v="41195"/>
    <n v="395.65"/>
  </r>
  <r>
    <x v="270"/>
    <x v="3"/>
    <x v="10"/>
    <s v="3M-NV4154"/>
    <n v="35054"/>
    <n v="303.14"/>
  </r>
  <r>
    <x v="271"/>
    <x v="1"/>
    <x v="6"/>
    <s v="91FQMBBZE-WA2019"/>
    <n v="62618"/>
    <n v="520.58000000000004"/>
  </r>
  <r>
    <x v="272"/>
    <x v="1"/>
    <x v="6"/>
    <s v="3M-NV4154"/>
    <n v="35054"/>
    <n v="486.95"/>
  </r>
  <r>
    <x v="273"/>
    <x v="5"/>
    <x v="8"/>
    <s v="1347ORB-ID872"/>
    <n v="89522"/>
    <n v="509.42"/>
  </r>
  <r>
    <x v="273"/>
    <x v="4"/>
    <x v="9"/>
    <s v="39JCYZ-WA8848"/>
    <n v="78924"/>
    <n v="496.64"/>
  </r>
  <r>
    <x v="274"/>
    <x v="5"/>
    <x v="8"/>
    <s v="3OGLPHJ-WA9309"/>
    <n v="16543"/>
    <n v="284.44"/>
  </r>
  <r>
    <x v="275"/>
    <x v="5"/>
    <x v="8"/>
    <s v="762558OTK-WA3772"/>
    <n v="41195"/>
    <n v="563.95000000000005"/>
  </r>
  <r>
    <x v="275"/>
    <x v="2"/>
    <x v="11"/>
    <s v="19452CD-CA7669"/>
    <n v="33806"/>
    <n v="503.84"/>
  </r>
  <r>
    <x v="276"/>
    <x v="2"/>
    <x v="11"/>
    <s v="577EJEFZQE-WA765"/>
    <n v="44106"/>
    <n v="374.87"/>
  </r>
  <r>
    <x v="277"/>
    <x v="0"/>
    <x v="16"/>
    <s v="9AFGIQVA-WA7765"/>
    <n v="82215"/>
    <n v="408.43"/>
  </r>
  <r>
    <x v="277"/>
    <x v="3"/>
    <x v="10"/>
    <s v="577EJEFZQE-WA765"/>
    <n v="44106"/>
    <n v="570.32000000000005"/>
  </r>
  <r>
    <x v="277"/>
    <x v="6"/>
    <x v="1"/>
    <s v="91FQMBBZE-WA2019"/>
    <n v="62618"/>
    <n v="360.09"/>
  </r>
  <r>
    <x v="278"/>
    <x v="4"/>
    <x v="9"/>
    <s v="1DX-ID9772"/>
    <n v="104648"/>
    <n v="481.63"/>
  </r>
  <r>
    <x v="279"/>
    <x v="5"/>
    <x v="8"/>
    <s v="999608FFD-WA435"/>
    <n v="112794"/>
    <n v="446.93"/>
  </r>
  <r>
    <x v="280"/>
    <x v="5"/>
    <x v="8"/>
    <s v="91FQMBBZE-WA2019"/>
    <n v="62618"/>
    <n v="321.87"/>
  </r>
  <r>
    <x v="281"/>
    <x v="7"/>
    <x v="1"/>
    <s v="3OGLPHJ-WA9309"/>
    <n v="16543"/>
    <n v="425.55"/>
  </r>
  <r>
    <x v="281"/>
    <x v="3"/>
    <x v="10"/>
    <s v="190245N-CA8497"/>
    <n v="76718"/>
    <n v="453.46"/>
  </r>
  <r>
    <x v="282"/>
    <x v="2"/>
    <x v="11"/>
    <s v="1FJH-OR6296"/>
    <n v="102195"/>
    <n v="585.32000000000005"/>
  </r>
  <r>
    <x v="283"/>
    <x v="5"/>
    <x v="8"/>
    <s v="781XCLQGF-OR2149"/>
    <n v="114137"/>
    <n v="583.19000000000005"/>
  </r>
  <r>
    <x v="284"/>
    <x v="0"/>
    <x v="16"/>
    <s v="97922PZ-WA6718"/>
    <n v="52452"/>
    <n v="427.59"/>
  </r>
  <r>
    <x v="285"/>
    <x v="5"/>
    <x v="8"/>
    <s v="147838FZCW-WA358"/>
    <n v="70859"/>
    <n v="320.56"/>
  </r>
  <r>
    <x v="286"/>
    <x v="2"/>
    <x v="11"/>
    <s v="91FQMBBZE-WA2019"/>
    <n v="62618"/>
    <n v="508.39"/>
  </r>
  <r>
    <x v="287"/>
    <x v="7"/>
    <x v="20"/>
    <s v="242XZR-ID4349"/>
    <n v="35968"/>
    <n v="242.09"/>
  </r>
  <r>
    <x v="288"/>
    <x v="1"/>
    <x v="13"/>
    <s v="1DX-ID9772"/>
    <n v="106668"/>
    <n v="96.55"/>
  </r>
  <r>
    <x v="289"/>
    <x v="7"/>
    <x v="20"/>
    <s v="762558OTK-WA3772"/>
    <n v="43215"/>
    <n v="181.42"/>
  </r>
  <r>
    <x v="290"/>
    <x v="0"/>
    <x v="11"/>
    <s v="91FQMBBZE-WA2019"/>
    <n v="64638"/>
    <n v="166.87"/>
  </r>
  <r>
    <x v="290"/>
    <x v="7"/>
    <x v="20"/>
    <s v="999608FFD-WA435"/>
    <n v="114814"/>
    <n v="33.81"/>
  </r>
  <r>
    <x v="290"/>
    <x v="4"/>
    <x v="16"/>
    <s v="695219WXLYQW-OR1043"/>
    <n v="88754"/>
    <n v="130.03"/>
  </r>
  <r>
    <x v="291"/>
    <x v="5"/>
    <x v="17"/>
    <s v="9AFGIQVA-WA7765"/>
    <n v="84235"/>
    <n v="74.930000000000007"/>
  </r>
  <r>
    <x v="292"/>
    <x v="7"/>
    <x v="20"/>
    <s v="32TBZV-CA6021"/>
    <n v="79755"/>
    <n v="82.86"/>
  </r>
  <r>
    <x v="293"/>
    <x v="2"/>
    <x v="20"/>
    <s v="7885WDG-CA5337"/>
    <n v="34992"/>
    <n v="256.75"/>
  </r>
  <r>
    <x v="294"/>
    <x v="5"/>
    <x v="17"/>
    <s v="781XCLQGF-OR2149"/>
    <n v="116157"/>
    <n v="103.89"/>
  </r>
  <r>
    <x v="295"/>
    <x v="7"/>
    <x v="20"/>
    <s v="1347ORB-ID872"/>
    <n v="91542"/>
    <n v="204.29"/>
  </r>
  <r>
    <x v="296"/>
    <x v="4"/>
    <x v="16"/>
    <s v="8192CMQANY-WA8475"/>
    <n v="116218"/>
    <n v="178.91"/>
  </r>
  <r>
    <x v="296"/>
    <x v="5"/>
    <x v="17"/>
    <s v="762558OTK-WA3772"/>
    <n v="43215"/>
    <n v="212.67"/>
  </r>
  <r>
    <x v="296"/>
    <x v="7"/>
    <x v="20"/>
    <s v="50143XGQA-CA3579"/>
    <n v="116853"/>
    <n v="159.78"/>
  </r>
  <r>
    <x v="296"/>
    <x v="3"/>
    <x v="18"/>
    <s v="999C-WA1204"/>
    <n v="29439"/>
    <n v="119.32"/>
  </r>
  <r>
    <x v="296"/>
    <x v="5"/>
    <x v="17"/>
    <s v="695219WXLYQW-OR1043"/>
    <n v="88754"/>
    <n v="84.32"/>
  </r>
  <r>
    <x v="297"/>
    <x v="3"/>
    <x v="18"/>
    <s v="1DX-ID9772"/>
    <n v="106668"/>
    <n v="48.88"/>
  </r>
  <r>
    <x v="298"/>
    <x v="7"/>
    <x v="20"/>
    <s v="97922PZ-WA6718"/>
    <n v="54472"/>
    <n v="138.68"/>
  </r>
  <r>
    <x v="299"/>
    <x v="1"/>
    <x v="13"/>
    <s v="39JCYZ-WA8848"/>
    <n v="80944"/>
    <n v="81.31"/>
  </r>
  <r>
    <x v="300"/>
    <x v="7"/>
    <x v="20"/>
    <s v="598TAPRYGI-OR1909"/>
    <n v="101864"/>
    <n v="189.04"/>
  </r>
  <r>
    <x v="301"/>
    <x v="3"/>
    <x v="18"/>
    <s v="50143XGQA-CA3579"/>
    <n v="116853"/>
    <n v="29.9"/>
  </r>
  <r>
    <x v="302"/>
    <x v="3"/>
    <x v="18"/>
    <s v="781XCLQGF-OR2149"/>
    <n v="116157"/>
    <n v="155.53"/>
  </r>
  <r>
    <x v="302"/>
    <x v="3"/>
    <x v="18"/>
    <s v="296SRULTU-ID5186"/>
    <n v="21746"/>
    <n v="133.88"/>
  </r>
  <r>
    <x v="303"/>
    <x v="2"/>
    <x v="20"/>
    <s v="39JCYZ-WA8848"/>
    <n v="80944"/>
    <n v="243.9"/>
  </r>
  <r>
    <x v="304"/>
    <x v="3"/>
    <x v="18"/>
    <s v="695219WXLYQW-OR1043"/>
    <n v="88754"/>
    <n v="149.57"/>
  </r>
  <r>
    <x v="304"/>
    <x v="5"/>
    <x v="17"/>
    <s v="3M-NV4154"/>
    <n v="37074"/>
    <n v="194.13"/>
  </r>
  <r>
    <x v="305"/>
    <x v="6"/>
    <x v="19"/>
    <s v="50143XGQA-CA3579"/>
    <n v="116853"/>
    <n v="197.17"/>
  </r>
  <r>
    <x v="305"/>
    <x v="6"/>
    <x v="19"/>
    <s v="870166FDADF-ID1007"/>
    <n v="46759"/>
    <n v="137.4"/>
  </r>
  <r>
    <x v="306"/>
    <x v="0"/>
    <x v="11"/>
    <s v="19452CD-CA7669"/>
    <n v="35826"/>
    <n v="123.94"/>
  </r>
  <r>
    <x v="306"/>
    <x v="2"/>
    <x v="20"/>
    <s v="8192CMQANY-WA8475"/>
    <n v="116218"/>
    <n v="138.38999999999999"/>
  </r>
  <r>
    <x v="307"/>
    <x v="3"/>
    <x v="18"/>
    <s v="8192CMQANY-WA8475"/>
    <n v="116218"/>
    <n v="189.12"/>
  </r>
  <r>
    <x v="307"/>
    <x v="7"/>
    <x v="20"/>
    <s v="1UONZ-OR2984"/>
    <n v="114916"/>
    <n v="246.03"/>
  </r>
  <r>
    <x v="308"/>
    <x v="2"/>
    <x v="20"/>
    <s v="1FJH-OR6296"/>
    <n v="104215"/>
    <n v="175.71"/>
  </r>
  <r>
    <x v="309"/>
    <x v="5"/>
    <x v="5"/>
    <s v="7885WDG-CA5337"/>
    <n v="37012"/>
    <n v="66.47"/>
  </r>
  <r>
    <x v="310"/>
    <x v="1"/>
    <x v="1"/>
    <s v="39JCYZ-WA8848"/>
    <n v="82964"/>
    <n v="78.64"/>
  </r>
  <r>
    <x v="311"/>
    <x v="3"/>
    <x v="3"/>
    <s v="5258LEKROJV-OR1076"/>
    <n v="62001"/>
    <n v="57.37"/>
  </r>
  <r>
    <x v="312"/>
    <x v="5"/>
    <x v="5"/>
    <s v="242XZR-ID4349"/>
    <n v="37988"/>
    <n v="63.23"/>
  </r>
  <r>
    <x v="313"/>
    <x v="3"/>
    <x v="3"/>
    <s v="8192CMQANY-WA8475"/>
    <n v="118238"/>
    <n v="164.38"/>
  </r>
  <r>
    <x v="314"/>
    <x v="7"/>
    <x v="7"/>
    <s v="781XCLQGF-OR2149"/>
    <n v="118177"/>
    <n v="124.01"/>
  </r>
  <r>
    <x v="314"/>
    <x v="3"/>
    <x v="3"/>
    <s v="762558OTK-WA3772"/>
    <n v="45235"/>
    <n v="73.91"/>
  </r>
  <r>
    <x v="315"/>
    <x v="0"/>
    <x v="0"/>
    <s v="3M-NV4154"/>
    <n v="39094"/>
    <n v="37.479999999999997"/>
  </r>
  <r>
    <x v="316"/>
    <x v="2"/>
    <x v="2"/>
    <s v="9AFGIQVA-WA7765"/>
    <n v="86255"/>
    <n v="136.4"/>
  </r>
  <r>
    <x v="317"/>
    <x v="4"/>
    <x v="4"/>
    <s v="7885WDG-CA5337"/>
    <n v="37012"/>
    <n v="60.01"/>
  </r>
  <r>
    <x v="317"/>
    <x v="7"/>
    <x v="7"/>
    <s v="1XBLBL-ID4830"/>
    <n v="43963"/>
    <n v="108.21"/>
  </r>
  <r>
    <x v="318"/>
    <x v="3"/>
    <x v="3"/>
    <s v="3M-NV4154"/>
    <n v="39094"/>
    <n v="124.79"/>
  </r>
  <r>
    <x v="318"/>
    <x v="4"/>
    <x v="4"/>
    <s v="7885WDG-CA5337"/>
    <n v="37012"/>
    <n v="66"/>
  </r>
  <r>
    <x v="319"/>
    <x v="5"/>
    <x v="5"/>
    <s v="1FJH-OR6296"/>
    <n v="106235"/>
    <n v="37.880000000000003"/>
  </r>
  <r>
    <x v="319"/>
    <x v="7"/>
    <x v="7"/>
    <s v="3OGLPHJ-WA9309"/>
    <n v="20583"/>
    <n v="13.43"/>
  </r>
  <r>
    <x v="320"/>
    <x v="2"/>
    <x v="2"/>
    <s v="32TBZV-CA6021"/>
    <n v="81775"/>
    <n v="121.39"/>
  </r>
  <r>
    <x v="321"/>
    <x v="5"/>
    <x v="5"/>
    <s v="19452CD-CA7669"/>
    <n v="37846"/>
    <n v="155.53"/>
  </r>
  <r>
    <x v="322"/>
    <x v="0"/>
    <x v="0"/>
    <s v="577EJEFZQE-WA765"/>
    <n v="48146"/>
    <n v="148.08000000000001"/>
  </r>
  <r>
    <x v="322"/>
    <x v="0"/>
    <x v="0"/>
    <s v="781XCLQGF-OR2149"/>
    <n v="118177"/>
    <n v="6.7"/>
  </r>
  <r>
    <x v="323"/>
    <x v="0"/>
    <x v="0"/>
    <s v="242XZR-ID4349"/>
    <n v="37988"/>
    <n v="49.8"/>
  </r>
  <r>
    <x v="324"/>
    <x v="3"/>
    <x v="3"/>
    <s v="242XZR-ID4349"/>
    <n v="37988"/>
    <n v="79.67"/>
  </r>
  <r>
    <x v="324"/>
    <x v="7"/>
    <x v="7"/>
    <s v="242XZR-ID4349"/>
    <n v="37988"/>
    <n v="33.99"/>
  </r>
  <r>
    <x v="325"/>
    <x v="3"/>
    <x v="3"/>
    <s v="50143XGQA-CA3579"/>
    <n v="118873"/>
    <n v="74.53"/>
  </r>
  <r>
    <x v="325"/>
    <x v="7"/>
    <x v="7"/>
    <s v="999C-WA1204"/>
    <n v="31459"/>
    <n v="12.22"/>
  </r>
  <r>
    <x v="326"/>
    <x v="3"/>
    <x v="10"/>
    <s v="242XZR-ID4349"/>
    <n v="40008"/>
    <n v="54.71"/>
  </r>
  <r>
    <x v="327"/>
    <x v="3"/>
    <x v="10"/>
    <s v="1DX-ID9772"/>
    <n v="110708"/>
    <n v="30.92"/>
  </r>
  <r>
    <x v="328"/>
    <x v="2"/>
    <x v="11"/>
    <s v="577EJEFZQE-WA765"/>
    <n v="50166"/>
    <n v="33.9"/>
  </r>
  <r>
    <x v="329"/>
    <x v="7"/>
    <x v="1"/>
    <s v="91FQMBBZE-WA2019"/>
    <n v="68678"/>
    <n v="48.01"/>
  </r>
  <r>
    <x v="329"/>
    <x v="3"/>
    <x v="10"/>
    <s v="870166FDADF-ID1007"/>
    <n v="50799"/>
    <n v="49.23"/>
  </r>
  <r>
    <x v="330"/>
    <x v="3"/>
    <x v="10"/>
    <s v="91FQMBBZE-WA2019"/>
    <n v="68678"/>
    <n v="35.33"/>
  </r>
  <r>
    <x v="330"/>
    <x v="0"/>
    <x v="16"/>
    <s v="3OGLPHJ-WA9309"/>
    <n v="22603"/>
    <n v="28.76"/>
  </r>
  <r>
    <x v="331"/>
    <x v="7"/>
    <x v="1"/>
    <s v="1DX-ID9772"/>
    <n v="110708"/>
    <n v="37.68"/>
  </r>
  <r>
    <x v="332"/>
    <x v="3"/>
    <x v="10"/>
    <s v="296SRULTU-ID5186"/>
    <n v="25786"/>
    <n v="52.75"/>
  </r>
  <r>
    <x v="332"/>
    <x v="1"/>
    <x v="6"/>
    <s v="32TBZV-CA6021"/>
    <n v="83795"/>
    <n v="25.97"/>
  </r>
  <r>
    <x v="333"/>
    <x v="7"/>
    <x v="1"/>
    <s v="296SRULTU-ID5186"/>
    <n v="25786"/>
    <n v="34.880000000000003"/>
  </r>
  <r>
    <x v="334"/>
    <x v="7"/>
    <x v="1"/>
    <s v="9AFGIQVA-WA7765"/>
    <n v="88275"/>
    <n v="58.45"/>
  </r>
  <r>
    <x v="335"/>
    <x v="3"/>
    <x v="10"/>
    <s v="242XZR-ID4349"/>
    <n v="40008"/>
    <n v="51.34"/>
  </r>
  <r>
    <x v="336"/>
    <x v="3"/>
    <x v="18"/>
    <s v="39JCYZ-WA8848"/>
    <n v="87004"/>
    <n v="47.75"/>
  </r>
  <r>
    <x v="336"/>
    <x v="5"/>
    <x v="17"/>
    <s v="44151Q-WA1957"/>
    <n v="50880"/>
    <n v="94.6"/>
  </r>
  <r>
    <x v="337"/>
    <x v="3"/>
    <x v="18"/>
    <s v="190245N-CA8497"/>
    <n v="84798"/>
    <n v="117.89"/>
  </r>
  <r>
    <x v="338"/>
    <x v="5"/>
    <x v="17"/>
    <s v="5258LEKROJV-OR1076"/>
    <n v="66041"/>
    <n v="148.38"/>
  </r>
  <r>
    <x v="339"/>
    <x v="7"/>
    <x v="20"/>
    <s v="999608FFD-WA435"/>
    <n v="120874"/>
    <n v="37.75"/>
  </r>
  <r>
    <x v="340"/>
    <x v="0"/>
    <x v="11"/>
    <s v="781XCLQGF-OR2149"/>
    <n v="122217"/>
    <n v="77.709999999999994"/>
  </r>
  <r>
    <x v="341"/>
    <x v="7"/>
    <x v="20"/>
    <s v="5258LEKROJV-OR1076"/>
    <n v="66041"/>
    <n v="30.29"/>
  </r>
  <r>
    <x v="341"/>
    <x v="6"/>
    <x v="19"/>
    <s v="147838FZCW-WA358"/>
    <n v="78939"/>
    <n v="11.16"/>
  </r>
  <r>
    <x v="341"/>
    <x v="2"/>
    <x v="20"/>
    <s v="1FJH-OR6296"/>
    <n v="110275"/>
    <n v="30.44"/>
  </r>
  <r>
    <x v="342"/>
    <x v="4"/>
    <x v="16"/>
    <s v="598TAPRYGI-OR1909"/>
    <n v="107924"/>
    <n v="44.71"/>
  </r>
  <r>
    <x v="343"/>
    <x v="0"/>
    <x v="0"/>
    <s v="7NG-OR6856"/>
    <n v="18010"/>
    <n v="92.98"/>
  </r>
  <r>
    <x v="343"/>
    <x v="7"/>
    <x v="7"/>
    <s v="5258LEKROJV-OR1076"/>
    <n v="43822"/>
    <n v="242.63"/>
  </r>
  <r>
    <x v="343"/>
    <x v="0"/>
    <x v="0"/>
    <s v="999C-WA1204"/>
    <n v="13280"/>
    <n v="396.88"/>
  </r>
  <r>
    <x v="344"/>
    <x v="5"/>
    <x v="5"/>
    <s v="91FQMBBZE-WA2019"/>
    <n v="48479"/>
    <n v="391.89"/>
  </r>
  <r>
    <x v="345"/>
    <x v="5"/>
    <x v="5"/>
    <s v="577EJEFZQE-WA765"/>
    <n v="29967"/>
    <n v="302.81"/>
  </r>
  <r>
    <x v="345"/>
    <x v="2"/>
    <x v="2"/>
    <s v="50143XGQA-CA3579"/>
    <n v="100694"/>
    <n v="212.35"/>
  </r>
  <r>
    <x v="345"/>
    <x v="4"/>
    <x v="4"/>
    <s v="3M-NV4154"/>
    <n v="20915"/>
    <n v="158.82"/>
  </r>
  <r>
    <x v="346"/>
    <x v="2"/>
    <x v="2"/>
    <s v="32TBZV-CA6021"/>
    <n v="63596"/>
    <n v="214.46"/>
  </r>
  <r>
    <x v="346"/>
    <x v="6"/>
    <x v="6"/>
    <s v="147838FZCW-WA358"/>
    <n v="56720"/>
    <n v="148.46"/>
  </r>
  <r>
    <x v="347"/>
    <x v="3"/>
    <x v="3"/>
    <s v="762558OTK-WA3772"/>
    <n v="27056"/>
    <n v="183.06"/>
  </r>
  <r>
    <x v="348"/>
    <x v="4"/>
    <x v="4"/>
    <s v="1XBLBL-ID4830"/>
    <n v="25784"/>
    <n v="339.7"/>
  </r>
  <r>
    <x v="349"/>
    <x v="5"/>
    <x v="5"/>
    <s v="242XZR-ID4349"/>
    <n v="19809"/>
    <n v="252.9"/>
  </r>
  <r>
    <x v="350"/>
    <x v="5"/>
    <x v="5"/>
    <s v="3OGLPHJ-WA9309"/>
    <n v="2404"/>
    <n v="250.47"/>
  </r>
  <r>
    <x v="351"/>
    <x v="6"/>
    <x v="6"/>
    <s v="8192CMQANY-WA8475"/>
    <n v="100059"/>
    <n v="228.75"/>
  </r>
  <r>
    <x v="351"/>
    <x v="4"/>
    <x v="4"/>
    <s v="91FQMBBZE-WA2019"/>
    <n v="48479"/>
    <n v="92.03"/>
  </r>
  <r>
    <x v="351"/>
    <x v="3"/>
    <x v="3"/>
    <s v="50143XGQA-CA3579"/>
    <n v="100694"/>
    <n v="122.15"/>
  </r>
  <r>
    <x v="352"/>
    <x v="7"/>
    <x v="7"/>
    <s v="296SRULTU-ID5186"/>
    <n v="5587"/>
    <n v="150.18"/>
  </r>
  <r>
    <x v="352"/>
    <x v="2"/>
    <x v="2"/>
    <s v="7885WDG-CA5337"/>
    <n v="18833"/>
    <n v="237.62"/>
  </r>
  <r>
    <x v="352"/>
    <x v="7"/>
    <x v="7"/>
    <s v="999C-WA1204"/>
    <n v="13280"/>
    <n v="84.66"/>
  </r>
  <r>
    <x v="352"/>
    <x v="5"/>
    <x v="5"/>
    <s v="147838FZCW-WA358"/>
    <n v="56720"/>
    <n v="307.47000000000003"/>
  </r>
  <r>
    <x v="353"/>
    <x v="7"/>
    <x v="7"/>
    <s v="762558OTK-WA3772"/>
    <n v="27056"/>
    <n v="213.54"/>
  </r>
  <r>
    <x v="354"/>
    <x v="0"/>
    <x v="0"/>
    <s v="7NG-OR6856"/>
    <n v="18010"/>
    <n v="283"/>
  </r>
  <r>
    <x v="355"/>
    <x v="1"/>
    <x v="1"/>
    <s v="242XZR-ID4349"/>
    <n v="19809"/>
    <n v="261.8"/>
  </r>
  <r>
    <x v="356"/>
    <x v="5"/>
    <x v="5"/>
    <s v="870166FDADF-ID1007"/>
    <n v="30600"/>
    <n v="337.61"/>
  </r>
  <r>
    <x v="357"/>
    <x v="7"/>
    <x v="7"/>
    <s v="8192CMQANY-WA8475"/>
    <n v="100059"/>
    <n v="397.96"/>
  </r>
  <r>
    <x v="357"/>
    <x v="7"/>
    <x v="7"/>
    <s v="762558OTK-WA3772"/>
    <n v="27056"/>
    <n v="344.21"/>
  </r>
  <r>
    <x v="358"/>
    <x v="5"/>
    <x v="5"/>
    <s v="8192CMQANY-WA8475"/>
    <n v="100059"/>
    <n v="278.27999999999997"/>
  </r>
  <r>
    <x v="359"/>
    <x v="0"/>
    <x v="0"/>
    <s v="97922PZ-WA6718"/>
    <n v="38313"/>
    <n v="212.66"/>
  </r>
  <r>
    <x v="360"/>
    <x v="6"/>
    <x v="1"/>
    <s v="7NG-OR6856"/>
    <n v="20031"/>
    <n v="512.96"/>
  </r>
  <r>
    <x v="360"/>
    <x v="3"/>
    <x v="10"/>
    <s v="97922PZ-WA6718"/>
    <n v="40334"/>
    <n v="571.74"/>
  </r>
  <r>
    <x v="361"/>
    <x v="5"/>
    <x v="8"/>
    <s v="147838FZCW-WA358"/>
    <n v="58741"/>
    <n v="595.05999999999995"/>
  </r>
  <r>
    <x v="362"/>
    <x v="1"/>
    <x v="6"/>
    <s v="781XCLQGF-OR2149"/>
    <n v="102019"/>
    <n v="390.68"/>
  </r>
  <r>
    <x v="362"/>
    <x v="6"/>
    <x v="1"/>
    <s v="296SRULTU-ID5186"/>
    <n v="7608"/>
    <n v="271.76"/>
  </r>
  <r>
    <x v="362"/>
    <x v="0"/>
    <x v="16"/>
    <s v="190245N-CA8497"/>
    <n v="64600"/>
    <n v="328.08"/>
  </r>
  <r>
    <x v="363"/>
    <x v="7"/>
    <x v="1"/>
    <s v="3M-NV4154"/>
    <n v="22936"/>
    <n v="392.74"/>
  </r>
  <r>
    <x v="364"/>
    <x v="6"/>
    <x v="1"/>
    <s v="7NG-OR6856"/>
    <n v="20031"/>
    <n v="541.32000000000005"/>
  </r>
  <r>
    <x v="365"/>
    <x v="6"/>
    <x v="1"/>
    <s v="242XZR-ID4349"/>
    <n v="21830"/>
    <n v="379.24"/>
  </r>
  <r>
    <x v="365"/>
    <x v="5"/>
    <x v="8"/>
    <s v="7NG-OR6856"/>
    <n v="20031"/>
    <n v="395.37"/>
  </r>
  <r>
    <x v="365"/>
    <x v="0"/>
    <x v="16"/>
    <s v="1UONZ-OR2984"/>
    <n v="100778"/>
    <n v="426.66"/>
  </r>
  <r>
    <x v="366"/>
    <x v="0"/>
    <x v="16"/>
    <s v="598TAPRYGI-OR1909"/>
    <n v="87726"/>
    <n v="321.77"/>
  </r>
  <r>
    <x v="367"/>
    <x v="0"/>
    <x v="16"/>
    <s v="7NG-OR6856"/>
    <n v="20031"/>
    <n v="459.23"/>
  </r>
  <r>
    <x v="367"/>
    <x v="7"/>
    <x v="1"/>
    <s v="1347ORB-ID872"/>
    <n v="77404"/>
    <n v="404.34"/>
  </r>
  <r>
    <x v="368"/>
    <x v="2"/>
    <x v="11"/>
    <s v="999608FFD-WA435"/>
    <n v="100676"/>
    <n v="562.44000000000005"/>
  </r>
  <r>
    <x v="369"/>
    <x v="7"/>
    <x v="1"/>
    <s v="5258LEKROJV-OR1076"/>
    <n v="45843"/>
    <n v="571.65"/>
  </r>
  <r>
    <x v="370"/>
    <x v="3"/>
    <x v="10"/>
    <s v="91FQMBBZE-WA2019"/>
    <n v="50500"/>
    <n v="458.32"/>
  </r>
  <r>
    <x v="371"/>
    <x v="2"/>
    <x v="11"/>
    <s v="50143XGQA-CA3579"/>
    <n v="102715"/>
    <n v="580.29999999999995"/>
  </r>
  <r>
    <x v="372"/>
    <x v="5"/>
    <x v="8"/>
    <s v="97922PZ-WA6718"/>
    <n v="40334"/>
    <n v="349.54"/>
  </r>
  <r>
    <x v="373"/>
    <x v="7"/>
    <x v="1"/>
    <s v="3OGLPHJ-WA9309"/>
    <n v="4425"/>
    <n v="387.12"/>
  </r>
  <r>
    <x v="374"/>
    <x v="7"/>
    <x v="1"/>
    <s v="1UONZ-OR2984"/>
    <n v="100778"/>
    <n v="532.47"/>
  </r>
  <r>
    <x v="374"/>
    <x v="7"/>
    <x v="1"/>
    <s v="598TAPRYGI-OR1909"/>
    <n v="87726"/>
    <n v="418.01"/>
  </r>
  <r>
    <x v="375"/>
    <x v="7"/>
    <x v="1"/>
    <s v="39JCYZ-WA8848"/>
    <n v="66806"/>
    <n v="355.71"/>
  </r>
  <r>
    <x v="375"/>
    <x v="6"/>
    <x v="1"/>
    <s v="870166FDADF-ID1007"/>
    <n v="32621"/>
    <n v="251.67"/>
  </r>
  <r>
    <x v="376"/>
    <x v="1"/>
    <x v="6"/>
    <s v="999C-WA1204"/>
    <n v="15301"/>
    <n v="366.69"/>
  </r>
  <r>
    <x v="376"/>
    <x v="6"/>
    <x v="1"/>
    <s v="1DX-ID9772"/>
    <n v="92530"/>
    <n v="468.2"/>
  </r>
  <r>
    <x v="376"/>
    <x v="4"/>
    <x v="9"/>
    <s v="781XCLQGF-OR2149"/>
    <n v="102019"/>
    <n v="521.35"/>
  </r>
  <r>
    <x v="376"/>
    <x v="1"/>
    <x v="6"/>
    <s v="577EJEFZQE-WA765"/>
    <n v="31988"/>
    <n v="353.82"/>
  </r>
  <r>
    <x v="377"/>
    <x v="1"/>
    <x v="6"/>
    <s v="3M-NV4154"/>
    <n v="22936"/>
    <n v="342.37"/>
  </r>
  <r>
    <x v="378"/>
    <x v="5"/>
    <x v="8"/>
    <s v="598TAPRYGI-OR1909"/>
    <n v="87726"/>
    <n v="369.07"/>
  </r>
  <r>
    <x v="378"/>
    <x v="2"/>
    <x v="11"/>
    <s v="296SRULTU-ID5186"/>
    <n v="7608"/>
    <n v="308.70999999999998"/>
  </r>
  <r>
    <x v="378"/>
    <x v="5"/>
    <x v="8"/>
    <s v="762558OTK-WA3772"/>
    <n v="29077"/>
    <n v="343.16"/>
  </r>
  <r>
    <x v="378"/>
    <x v="7"/>
    <x v="1"/>
    <s v="242XZR-ID4349"/>
    <n v="21830"/>
    <n v="386.52"/>
  </r>
  <r>
    <x v="379"/>
    <x v="3"/>
    <x v="10"/>
    <s v="8192CMQANY-WA8475"/>
    <n v="102080"/>
    <n v="427.43"/>
  </r>
  <r>
    <x v="379"/>
    <x v="0"/>
    <x v="16"/>
    <s v="695219WXLYQW-OR1043"/>
    <n v="74616"/>
    <n v="425.73"/>
  </r>
  <r>
    <x v="380"/>
    <x v="2"/>
    <x v="11"/>
    <s v="999608FFD-WA435"/>
    <n v="100676"/>
    <n v="350.11"/>
  </r>
  <r>
    <x v="380"/>
    <x v="7"/>
    <x v="1"/>
    <s v="3M-NV4154"/>
    <n v="22936"/>
    <n v="354.48"/>
  </r>
  <r>
    <x v="381"/>
    <x v="5"/>
    <x v="8"/>
    <s v="3OGLPHJ-WA9309"/>
    <n v="4425"/>
    <n v="423.66"/>
  </r>
  <r>
    <x v="381"/>
    <x v="6"/>
    <x v="1"/>
    <s v="39JCYZ-WA8848"/>
    <n v="66806"/>
    <n v="397.34"/>
  </r>
  <r>
    <x v="382"/>
    <x v="0"/>
    <x v="16"/>
    <s v="1347ORB-ID872"/>
    <n v="79425"/>
    <n v="994.79"/>
  </r>
  <r>
    <x v="383"/>
    <x v="0"/>
    <x v="16"/>
    <s v="7885WDG-CA5337"/>
    <n v="22875"/>
    <n v="446.99"/>
  </r>
  <r>
    <x v="383"/>
    <x v="6"/>
    <x v="1"/>
    <s v="999608FFD-WA435"/>
    <n v="102697"/>
    <n v="170.06"/>
  </r>
  <r>
    <x v="384"/>
    <x v="1"/>
    <x v="6"/>
    <s v="598TAPRYGI-OR1909"/>
    <n v="89747"/>
    <n v="443.77"/>
  </r>
  <r>
    <x v="385"/>
    <x v="7"/>
    <x v="1"/>
    <s v="3OGLPHJ-WA9309"/>
    <n v="6446"/>
    <n v="559.01"/>
  </r>
  <r>
    <x v="386"/>
    <x v="3"/>
    <x v="10"/>
    <s v="91FQMBBZE-WA2019"/>
    <n v="52521"/>
    <n v="284.64"/>
  </r>
  <r>
    <x v="387"/>
    <x v="0"/>
    <x v="16"/>
    <s v="242XZR-ID4349"/>
    <n v="23851"/>
    <n v="116.46"/>
  </r>
  <r>
    <x v="387"/>
    <x v="0"/>
    <x v="16"/>
    <s v="190245N-CA8497"/>
    <n v="66621"/>
    <n v="617.78"/>
  </r>
  <r>
    <x v="388"/>
    <x v="7"/>
    <x v="1"/>
    <s v="7NG-OR6856"/>
    <n v="22052"/>
    <n v="1136.22"/>
  </r>
  <r>
    <x v="388"/>
    <x v="0"/>
    <x v="16"/>
    <s v="7NG-OR6856"/>
    <n v="22052"/>
    <n v="559.94000000000005"/>
  </r>
  <r>
    <x v="388"/>
    <x v="5"/>
    <x v="8"/>
    <s v="3OGLPHJ-WA9309"/>
    <n v="6446"/>
    <n v="1219.8900000000001"/>
  </r>
  <r>
    <x v="388"/>
    <x v="4"/>
    <x v="9"/>
    <s v="7NG-OR6856"/>
    <n v="22052"/>
    <n v="391.31"/>
  </r>
  <r>
    <x v="389"/>
    <x v="3"/>
    <x v="10"/>
    <s v="999C-WA1204"/>
    <n v="17322"/>
    <n v="321.3"/>
  </r>
  <r>
    <x v="389"/>
    <x v="5"/>
    <x v="8"/>
    <s v="9AFGIQVA-WA7765"/>
    <n v="72118"/>
    <n v="1212.8"/>
  </r>
  <r>
    <x v="389"/>
    <x v="0"/>
    <x v="16"/>
    <s v="44151Q-WA1957"/>
    <n v="32703"/>
    <n v="1066.2"/>
  </r>
  <r>
    <x v="390"/>
    <x v="4"/>
    <x v="9"/>
    <s v="91FQMBBZE-WA2019"/>
    <n v="52521"/>
    <n v="1153.1400000000001"/>
  </r>
  <r>
    <x v="390"/>
    <x v="6"/>
    <x v="1"/>
    <s v="577EJEFZQE-WA765"/>
    <n v="34009"/>
    <n v="1025.95"/>
  </r>
  <r>
    <x v="390"/>
    <x v="7"/>
    <x v="1"/>
    <s v="3OGLPHJ-WA9309"/>
    <n v="6446"/>
    <n v="190.78"/>
  </r>
  <r>
    <x v="391"/>
    <x v="3"/>
    <x v="10"/>
    <s v="870166FDADF-ID1007"/>
    <n v="34642"/>
    <n v="477.83"/>
  </r>
  <r>
    <x v="391"/>
    <x v="4"/>
    <x v="9"/>
    <s v="7885WDG-CA5337"/>
    <n v="22875"/>
    <n v="571.30999999999995"/>
  </r>
  <r>
    <x v="391"/>
    <x v="3"/>
    <x v="10"/>
    <s v="598TAPRYGI-OR1909"/>
    <n v="89747"/>
    <n v="991.06"/>
  </r>
  <r>
    <x v="392"/>
    <x v="3"/>
    <x v="10"/>
    <s v="3OGLPHJ-WA9309"/>
    <n v="6446"/>
    <n v="633.29"/>
  </r>
  <r>
    <x v="392"/>
    <x v="0"/>
    <x v="16"/>
    <s v="3OGLPHJ-WA9309"/>
    <n v="6446"/>
    <n v="478.36"/>
  </r>
  <r>
    <x v="393"/>
    <x v="7"/>
    <x v="1"/>
    <s v="870166FDADF-ID1007"/>
    <n v="34642"/>
    <n v="1138.93"/>
  </r>
  <r>
    <x v="394"/>
    <x v="5"/>
    <x v="8"/>
    <s v="296SRULTU-ID5186"/>
    <n v="9629"/>
    <n v="720.52"/>
  </r>
  <r>
    <x v="394"/>
    <x v="3"/>
    <x v="10"/>
    <s v="1FJH-OR6296"/>
    <n v="92098"/>
    <n v="522.58000000000004"/>
  </r>
  <r>
    <x v="395"/>
    <x v="7"/>
    <x v="1"/>
    <s v="19452CD-CA7669"/>
    <n v="23709"/>
    <n v="374.9"/>
  </r>
  <r>
    <x v="396"/>
    <x v="3"/>
    <x v="10"/>
    <s v="32TBZV-CA6021"/>
    <n v="67638"/>
    <n v="1129.47"/>
  </r>
  <r>
    <x v="397"/>
    <x v="5"/>
    <x v="8"/>
    <s v="781XCLQGF-OR2149"/>
    <n v="104040"/>
    <n v="105.64"/>
  </r>
  <r>
    <x v="397"/>
    <x v="7"/>
    <x v="1"/>
    <s v="1UONZ-OR2984"/>
    <n v="102799"/>
    <n v="920.65"/>
  </r>
  <r>
    <x v="397"/>
    <x v="4"/>
    <x v="9"/>
    <s v="1FJH-OR6296"/>
    <n v="92098"/>
    <n v="105.02"/>
  </r>
  <r>
    <x v="397"/>
    <x v="6"/>
    <x v="1"/>
    <s v="999608FFD-WA435"/>
    <n v="102697"/>
    <n v="278.67"/>
  </r>
  <r>
    <x v="397"/>
    <x v="0"/>
    <x v="16"/>
    <s v="1XBLBL-ID4830"/>
    <n v="29826"/>
    <n v="437.36"/>
  </r>
  <r>
    <x v="397"/>
    <x v="5"/>
    <x v="8"/>
    <s v="44151Q-WA1957"/>
    <n v="32703"/>
    <n v="999.25"/>
  </r>
  <r>
    <x v="398"/>
    <x v="7"/>
    <x v="1"/>
    <s v="5258LEKROJV-OR1076"/>
    <n v="47864"/>
    <n v="238.83"/>
  </r>
  <r>
    <x v="399"/>
    <x v="7"/>
    <x v="1"/>
    <s v="7885WDG-CA5337"/>
    <n v="22875"/>
    <n v="71.989999999999995"/>
  </r>
  <r>
    <x v="400"/>
    <x v="4"/>
    <x v="9"/>
    <s v="32TBZV-CA6021"/>
    <n v="67638"/>
    <n v="760.51"/>
  </r>
  <r>
    <x v="401"/>
    <x v="0"/>
    <x v="16"/>
    <s v="19452CD-CA7669"/>
    <n v="23709"/>
    <n v="739.3"/>
  </r>
  <r>
    <x v="401"/>
    <x v="0"/>
    <x v="16"/>
    <s v="147838FZCW-WA358"/>
    <n v="60762"/>
    <n v="177.49"/>
  </r>
  <r>
    <x v="402"/>
    <x v="5"/>
    <x v="8"/>
    <s v="7885WDG-CA5337"/>
    <n v="22875"/>
    <n v="459.21"/>
  </r>
  <r>
    <x v="402"/>
    <x v="0"/>
    <x v="16"/>
    <s v="577EJEFZQE-WA765"/>
    <n v="34009"/>
    <n v="711.84"/>
  </r>
  <r>
    <x v="403"/>
    <x v="3"/>
    <x v="10"/>
    <s v="1XBLBL-ID4830"/>
    <n v="29826"/>
    <n v="73.819999999999993"/>
  </r>
  <r>
    <x v="404"/>
    <x v="4"/>
    <x v="9"/>
    <s v="1XBLBL-ID4830"/>
    <n v="29826"/>
    <n v="865.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BE9C54D-7553-4DEE-B071-ED731360ACB5}" name="PivotTable1" cacheId="10" applyNumberFormats="0" applyBorderFormats="0" applyFontFormats="0" applyPatternFormats="0" applyAlignmentFormats="0" applyWidthHeightFormats="1" dataCaption="Values" updatedVersion="8" minRefreshableVersion="3" itemPrintTitles="1" createdVersion="8" indent="0" compact="0" compactData="0" multipleFieldFilters="0" chartFormat="4">
  <location ref="B3:D34" firstHeaderRow="1" firstDataRow="1" firstDataCol="2"/>
  <pivotFields count="8">
    <pivotField axis="axisRow" compact="0" outline="0" showAll="0">
      <items count="15">
        <item x="0"/>
        <item x="1"/>
        <item x="2"/>
        <item x="3"/>
        <item x="4"/>
        <item x="5"/>
        <item x="6"/>
        <item x="7"/>
        <item x="8"/>
        <item x="9"/>
        <item x="10"/>
        <item x="11"/>
        <item x="12"/>
        <item x="13"/>
        <item t="default"/>
      </items>
    </pivotField>
    <pivotField compact="0" outline="0" showAll="0">
      <items count="9">
        <item x="0"/>
        <item x="7"/>
        <item x="2"/>
        <item x="1"/>
        <item x="6"/>
        <item x="5"/>
        <item x="4"/>
        <item x="3"/>
        <item t="default"/>
      </items>
    </pivotField>
    <pivotField compact="0" outline="0" showAll="0">
      <items count="23">
        <item x="10"/>
        <item x="15"/>
        <item x="1"/>
        <item x="13"/>
        <item x="9"/>
        <item x="12"/>
        <item x="2"/>
        <item x="11"/>
        <item x="0"/>
        <item x="7"/>
        <item x="20"/>
        <item x="4"/>
        <item x="21"/>
        <item x="18"/>
        <item x="5"/>
        <item x="6"/>
        <item x="16"/>
        <item x="8"/>
        <item x="17"/>
        <item x="19"/>
        <item x="14"/>
        <item x="3"/>
        <item t="default"/>
      </items>
    </pivotField>
    <pivotField compact="0" outline="0" showAll="0"/>
    <pivotField compact="0" outline="0" showAll="0"/>
    <pivotField dataField="1" compact="0" outline="0" showAll="0"/>
    <pivotField compact="0" outline="0" subtotalTop="0" showAll="0">
      <items count="7">
        <item sd="0" x="0"/>
        <item sd="0" x="1"/>
        <item sd="0" x="2"/>
        <item sd="0" x="3"/>
        <item sd="0" x="4"/>
        <item x="5"/>
        <item t="default"/>
      </items>
    </pivotField>
    <pivotField axis="axisRow" compact="0" outline="0" subtotalTop="0" showAll="0">
      <items count="6">
        <item x="0"/>
        <item x="1"/>
        <item x="2"/>
        <item x="3"/>
        <item x="4"/>
        <item t="default"/>
      </items>
    </pivotField>
  </pivotFields>
  <rowFields count="2">
    <field x="7"/>
    <field x="0"/>
  </rowFields>
  <rowItems count="31">
    <i>
      <x v="1"/>
      <x v="1"/>
    </i>
    <i r="1">
      <x v="2"/>
    </i>
    <i r="1">
      <x v="3"/>
    </i>
    <i r="1">
      <x v="4"/>
    </i>
    <i r="1">
      <x v="5"/>
    </i>
    <i r="1">
      <x v="6"/>
    </i>
    <i r="1">
      <x v="7"/>
    </i>
    <i r="1">
      <x v="8"/>
    </i>
    <i r="1">
      <x v="9"/>
    </i>
    <i r="1">
      <x v="10"/>
    </i>
    <i r="1">
      <x v="11"/>
    </i>
    <i r="1">
      <x v="12"/>
    </i>
    <i t="default">
      <x v="1"/>
    </i>
    <i>
      <x v="2"/>
      <x v="1"/>
    </i>
    <i r="1">
      <x v="2"/>
    </i>
    <i r="1">
      <x v="3"/>
    </i>
    <i r="1">
      <x v="4"/>
    </i>
    <i r="1">
      <x v="5"/>
    </i>
    <i r="1">
      <x v="6"/>
    </i>
    <i r="1">
      <x v="7"/>
    </i>
    <i r="1">
      <x v="8"/>
    </i>
    <i r="1">
      <x v="9"/>
    </i>
    <i r="1">
      <x v="10"/>
    </i>
    <i r="1">
      <x v="11"/>
    </i>
    <i r="1">
      <x v="12"/>
    </i>
    <i t="default">
      <x v="2"/>
    </i>
    <i>
      <x v="3"/>
      <x v="1"/>
    </i>
    <i r="1">
      <x v="2"/>
    </i>
    <i r="1">
      <x v="3"/>
    </i>
    <i t="default">
      <x v="3"/>
    </i>
    <i t="grand">
      <x/>
    </i>
  </rowItems>
  <colItems count="1">
    <i/>
  </colItems>
  <dataFields count="1">
    <dataField name="Sum of Amount" fld="5" baseField="0" baseItem="0" numFmtId="4"/>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8550860-6186-4D90-BBBA-1F157A112113}" name="PivotTable3" cacheId="10" applyNumberFormats="0" applyBorderFormats="0" applyFontFormats="0" applyPatternFormats="0" applyAlignmentFormats="0" applyWidthHeightFormats="1" dataCaption="Values" updatedVersion="8" minRefreshableVersion="3" itemPrintTitles="1" createdVersion="8" indent="0" compact="0" compactData="0" multipleFieldFilters="0" chartFormat="6">
  <location ref="G3:I34" firstHeaderRow="1" firstDataRow="1" firstDataCol="2"/>
  <pivotFields count="8">
    <pivotField axis="axisRow" compact="0" outline="0" showAll="0">
      <items count="15">
        <item x="0"/>
        <item x="1"/>
        <item x="2"/>
        <item x="3"/>
        <item x="4"/>
        <item x="5"/>
        <item x="6"/>
        <item x="7"/>
        <item x="8"/>
        <item x="9"/>
        <item x="10"/>
        <item x="11"/>
        <item x="12"/>
        <item x="13"/>
        <item t="default"/>
      </items>
    </pivotField>
    <pivotField compact="0" outline="0" showAll="0">
      <items count="9">
        <item x="0"/>
        <item x="7"/>
        <item x="2"/>
        <item x="1"/>
        <item x="6"/>
        <item x="5"/>
        <item x="4"/>
        <item x="3"/>
        <item t="default"/>
      </items>
    </pivotField>
    <pivotField compact="0" outline="0" showAll="0">
      <items count="23">
        <item x="10"/>
        <item x="15"/>
        <item x="1"/>
        <item x="13"/>
        <item x="9"/>
        <item x="12"/>
        <item x="2"/>
        <item x="11"/>
        <item x="0"/>
        <item x="7"/>
        <item x="20"/>
        <item x="4"/>
        <item x="21"/>
        <item x="18"/>
        <item x="5"/>
        <item x="6"/>
        <item x="16"/>
        <item x="8"/>
        <item x="17"/>
        <item x="19"/>
        <item x="14"/>
        <item x="3"/>
        <item t="default"/>
      </items>
    </pivotField>
    <pivotField compact="0" outline="0" showAll="0"/>
    <pivotField compact="0" outline="0" showAll="0"/>
    <pivotField dataField="1" compact="0" outline="0" showAll="0"/>
    <pivotField compact="0" outline="0" subtotalTop="0" showAll="0">
      <items count="7">
        <item sd="0" x="0"/>
        <item sd="0" x="1"/>
        <item sd="0" x="2"/>
        <item sd="0" x="3"/>
        <item sd="0" x="4"/>
        <item x="5"/>
        <item t="default"/>
      </items>
    </pivotField>
    <pivotField axis="axisRow" compact="0" outline="0" subtotalTop="0" showAll="0">
      <items count="6">
        <item x="0"/>
        <item x="1"/>
        <item x="2"/>
        <item x="3"/>
        <item x="4"/>
        <item t="default"/>
      </items>
    </pivotField>
  </pivotFields>
  <rowFields count="2">
    <field x="7"/>
    <field x="0"/>
  </rowFields>
  <rowItems count="31">
    <i>
      <x v="1"/>
      <x v="1"/>
    </i>
    <i r="1">
      <x v="2"/>
    </i>
    <i r="1">
      <x v="3"/>
    </i>
    <i r="1">
      <x v="4"/>
    </i>
    <i r="1">
      <x v="5"/>
    </i>
    <i r="1">
      <x v="6"/>
    </i>
    <i r="1">
      <x v="7"/>
    </i>
    <i r="1">
      <x v="8"/>
    </i>
    <i r="1">
      <x v="9"/>
    </i>
    <i r="1">
      <x v="10"/>
    </i>
    <i r="1">
      <x v="11"/>
    </i>
    <i r="1">
      <x v="12"/>
    </i>
    <i t="default">
      <x v="1"/>
    </i>
    <i>
      <x v="2"/>
      <x v="1"/>
    </i>
    <i r="1">
      <x v="2"/>
    </i>
    <i r="1">
      <x v="3"/>
    </i>
    <i r="1">
      <x v="4"/>
    </i>
    <i r="1">
      <x v="5"/>
    </i>
    <i r="1">
      <x v="6"/>
    </i>
    <i r="1">
      <x v="7"/>
    </i>
    <i r="1">
      <x v="8"/>
    </i>
    <i r="1">
      <x v="9"/>
    </i>
    <i r="1">
      <x v="10"/>
    </i>
    <i r="1">
      <x v="11"/>
    </i>
    <i r="1">
      <x v="12"/>
    </i>
    <i t="default">
      <x v="2"/>
    </i>
    <i>
      <x v="3"/>
      <x v="1"/>
    </i>
    <i r="1">
      <x v="2"/>
    </i>
    <i r="1">
      <x v="3"/>
    </i>
    <i t="default">
      <x v="3"/>
    </i>
    <i t="grand">
      <x/>
    </i>
  </rowItems>
  <colItems count="1">
    <i/>
  </colItems>
  <dataFields count="1">
    <dataField name="Average of Amount" fld="5" subtotal="average" baseField="0" baseItem="0" numFmtId="4"/>
  </dataFields>
  <chartFormats count="3">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urchased_Item" xr10:uid="{DF586E7D-9EA1-47CA-A231-4D6E166651CD}" sourceName="Purchased Item">
  <pivotTables>
    <pivotTable tabId="30" name="PivotTable1"/>
    <pivotTable tabId="30" name="PivotTable3"/>
  </pivotTables>
  <data>
    <tabular pivotCacheId="1654457422">
      <items count="22">
        <i x="10" s="1"/>
        <i x="15" s="1"/>
        <i x="1" s="1"/>
        <i x="13" s="1"/>
        <i x="9" s="1"/>
        <i x="12" s="1"/>
        <i x="2" s="1"/>
        <i x="11" s="1"/>
        <i x="0" s="1"/>
        <i x="7" s="1"/>
        <i x="20" s="1"/>
        <i x="4" s="1"/>
        <i x="21" s="1"/>
        <i x="18" s="1"/>
        <i x="5" s="1"/>
        <i x="6" s="1"/>
        <i x="16" s="1"/>
        <i x="8" s="1"/>
        <i x="17" s="1"/>
        <i x="19" s="1"/>
        <i x="14"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xpense_Category" xr10:uid="{41E83799-B813-455B-B1A7-ED994690CE85}" sourceName="Expense Category">
  <pivotTables>
    <pivotTable tabId="30" name="PivotTable1"/>
    <pivotTable tabId="30" name="PivotTable3"/>
  </pivotTables>
  <data>
    <tabular pivotCacheId="1654457422">
      <items count="8">
        <i x="0" s="1"/>
        <i x="7" s="1"/>
        <i x="2" s="1"/>
        <i x="1" s="1"/>
        <i x="6" s="1"/>
        <i x="5" s="1"/>
        <i x="4"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urchased Item" xr10:uid="{55B88B63-2C24-4C1D-B1AF-A0FE6F0BB115}" cache="Slicer_Purchased_Item" caption="Purchased Item" columnCount="3" rowHeight="182880"/>
  <slicer name="Expense Category" xr10:uid="{8D5DCE3E-E09F-4C2F-BDF1-4303F32DADEF}" cache="Slicer_Expense_Category" caption="Expense Category" columnCount="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B5FE9A6-23ED-4FE8-90C9-A824C71AEA37}" name="Ex2019Jan" displayName="Ex2019Jan" ref="B5:F20" totalsRowShown="0" headerRowDxfId="56">
  <autoFilter ref="B5:F20" xr:uid="{A3841600-561D-43D6-B21F-D63B934EE157}"/>
  <tableColumns count="5">
    <tableColumn id="1" xr3:uid="{BEDB02D5-7236-4558-B371-77E37EB8A7C5}" name="Date" dataDxfId="55"/>
    <tableColumn id="2" xr3:uid="{3D7EAFF0-43E6-480A-8370-7EDC9A4FBB12}" name="Expense Category - Purchased Item"/>
    <tableColumn id="3" xr3:uid="{9853E290-D73A-43A8-93E4-0BC63974CBE8}" name="VendorID"/>
    <tableColumn id="4" xr3:uid="{85A2E51E-71A6-4C13-9669-1DDF79067192}" name="Invoice Number"/>
    <tableColumn id="5" xr3:uid="{8FA989DE-2CB5-4283-9B62-7B5E7B17C1C1}" name="Amou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202F7AF-F950-4916-A5DC-34BD86F2D3E1}" name="EX2019Feb" displayName="EX2019Feb" ref="B5:F25" totalsRowShown="0" headerRowDxfId="54">
  <autoFilter ref="B5:F25" xr:uid="{6F2BB373-7260-49DA-9E41-8D0B82AC2E25}"/>
  <tableColumns count="5">
    <tableColumn id="1" xr3:uid="{4CBB0ED9-69CB-4BC0-829C-C91562C5462D}" name="Date" dataDxfId="53"/>
    <tableColumn id="2" xr3:uid="{F3E7E50A-A636-4CA7-966E-1B59F9BAC9AE}" name="Expense Category - Purchased Item"/>
    <tableColumn id="3" xr3:uid="{0596B97B-8AFB-4758-A1C5-8F992C4E8835}" name="VendorID"/>
    <tableColumn id="4" xr3:uid="{5F73C842-DE7F-4D35-88B3-B91F827B3A02}" name="Invoice Number"/>
    <tableColumn id="5" xr3:uid="{E1F52D6E-75AE-4EF9-B54E-B64DE3C2D1C1}"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94754F9-4FD5-4D47-9595-D7CA4C8603A9}" name="Ex2019Mar" displayName="Ex2019Mar" ref="B5:F22" totalsRowShown="0" headerRowDxfId="52">
  <autoFilter ref="B5:F22" xr:uid="{574FF7CD-1473-4377-B779-F49F0D7C43DC}"/>
  <tableColumns count="5">
    <tableColumn id="1" xr3:uid="{DBFD7859-5531-4140-92BC-D3B81671D732}" name="Date" dataDxfId="51"/>
    <tableColumn id="2" xr3:uid="{03B4FE58-223A-471C-88DB-63F851AF0D2E}" name="Expense Category - Purchased Item"/>
    <tableColumn id="3" xr3:uid="{FB841B8F-C824-4BBB-AEDE-DF0DD2EA2231}" name="VendorID"/>
    <tableColumn id="4" xr3:uid="{72ED9DB2-B84A-471E-B177-89ACDBADA6F9}" name="Invoice Number"/>
    <tableColumn id="5" xr3:uid="{1F40A8AD-ED49-488E-858A-418C352E953F}" name="Amou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9BE19E3-D631-4FA9-A994-7F94BA79C6EA}" name="Ex2019Apr" displayName="Ex2019Apr" ref="B5:F35" totalsRowShown="0" headerRowDxfId="50">
  <autoFilter ref="B5:F35" xr:uid="{FA8A59AF-FAF8-4C99-8981-4E0D075319E7}"/>
  <tableColumns count="5">
    <tableColumn id="1" xr3:uid="{FA440BAF-ED8C-4032-9DFD-86424B06AB10}" name="Date" dataDxfId="49"/>
    <tableColumn id="2" xr3:uid="{D5E9DD7B-9AA6-4262-BD44-995EDAB1DB81}" name="Expense Category - Purchased Item"/>
    <tableColumn id="3" xr3:uid="{0CA58343-3FEE-4215-8906-F83AB42697D7}" name="VendorID"/>
    <tableColumn id="4" xr3:uid="{7EE95E35-8FCE-4D94-B66F-74CBD9454B5A}" name="Invoice Number"/>
    <tableColumn id="5" xr3:uid="{E53E6585-3F24-4981-87DE-A610192FE540}"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F310719-2F59-4E78-A13E-B5C696EEBDFF}" name="Ex2019May" displayName="Ex2019May" ref="B5:F15" totalsRowShown="0" headerRowDxfId="48">
  <autoFilter ref="B5:F15" xr:uid="{B5AEF67E-CF83-4C7D-9591-A17EC893F399}"/>
  <tableColumns count="5">
    <tableColumn id="1" xr3:uid="{D12AA218-D474-4818-AD55-C7B96BD88FAA}" name="Date" dataDxfId="47"/>
    <tableColumn id="2" xr3:uid="{74CE7A4A-25B0-40BE-92C5-5E16925D2843}" name="Expense Category - Purchased Item"/>
    <tableColumn id="3" xr3:uid="{567719DE-652E-4238-9945-77FB4D47A761}" name="VendorID"/>
    <tableColumn id="4" xr3:uid="{CFB7B755-386B-45C5-A6B7-76E2A033A81B}" name="Invoice Number"/>
    <tableColumn id="5" xr3:uid="{AD4CEB55-66A6-44AC-A86B-EF29F6542566}" name="Amou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C3BE46-17D7-4AF0-9C4E-EC6AFAB2AAA5}" name="Ex2019Jun" displayName="Ex2019Jun" ref="B5:F29" totalsRowShown="0" headerRowDxfId="46">
  <autoFilter ref="B5:F29" xr:uid="{E247913C-8038-4088-83EF-D1C2A39AE666}"/>
  <tableColumns count="5">
    <tableColumn id="1" xr3:uid="{F22C83E1-A31C-485B-B440-1C57F38AD6CC}" name="Date" dataDxfId="45"/>
    <tableColumn id="2" xr3:uid="{AAA1659B-AE53-4A4D-83EC-9A0691FEB787}" name="Expense Category - Purchased Item"/>
    <tableColumn id="3" xr3:uid="{D0C47D55-C6FA-4411-94FE-1E1391DF98C0}" name="VendorID"/>
    <tableColumn id="4" xr3:uid="{ABB7246C-C623-4535-B17E-AAAB69656E49}" name="Invoice Number"/>
    <tableColumn id="5" xr3:uid="{50BA1D17-4A0D-48C8-B978-C7A84F0B82F0}" name="Amou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C1F93CC-5F29-47C7-8DB1-7821C9A54D5A}" name="Ex2019Jul" displayName="Ex2019Jul" ref="B5:F38" totalsRowShown="0" headerRowDxfId="44">
  <autoFilter ref="B5:F38" xr:uid="{484187B4-F5AF-46F3-8A5C-00DF8CF871F1}"/>
  <tableColumns count="5">
    <tableColumn id="1" xr3:uid="{D44D09F8-D7B7-435E-A0CE-AAE1F8CFD291}" name="Date" dataDxfId="43"/>
    <tableColumn id="2" xr3:uid="{4FA15724-8AF4-4C10-BD35-FFD9527775EB}" name="Expense Category - Purchased Item"/>
    <tableColumn id="3" xr3:uid="{B99A39A2-8866-407A-B15C-227D3EC81079}" name="VendorID"/>
    <tableColumn id="4" xr3:uid="{60FDB618-863B-4612-B651-6AF5484E3A19}" name="Invoice Number"/>
    <tableColumn id="5" xr3:uid="{DBA87C56-09F6-4A56-9D9C-06D49C05C5B5}" name="Amoun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55AE729-146E-4A8B-9233-8BE4CE092D97}" name="Ex2019Aug" displayName="Ex2019Aug" ref="B5:F26" totalsRowShown="0" headerRowDxfId="42">
  <autoFilter ref="B5:F26" xr:uid="{F0890432-FB3C-4A61-8C37-50E7BA809C69}"/>
  <tableColumns count="5">
    <tableColumn id="1" xr3:uid="{C0367D79-F277-4BC6-891B-D009A5E8E3CA}" name="Date" dataDxfId="41"/>
    <tableColumn id="2" xr3:uid="{65BB3DD6-2712-43AC-B10F-CB9A7A135570}" name="Expense Category - Purchased Item"/>
    <tableColumn id="3" xr3:uid="{F73FA2C2-DFF4-4956-90C5-EDC8BE06FC78}" name="VendorID"/>
    <tableColumn id="4" xr3:uid="{DF1E76FE-F2D2-47E5-A3DB-08B56F6CB6D5}" name="Invoice Number"/>
    <tableColumn id="5" xr3:uid="{D973CB68-7D8F-4A94-B2AE-26850BED0BB2}" name="Amou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E8F7630-B0A3-4243-A248-3F8B1CE3B0F7}" name="Ex2019Sep" displayName="Ex2019Sep" ref="B5:F37" totalsRowShown="0" headerRowDxfId="40">
  <autoFilter ref="B5:F37" xr:uid="{867EBCC6-30C2-4A2B-B8B3-77B5BF24031F}"/>
  <tableColumns count="5">
    <tableColumn id="1" xr3:uid="{A4F23AA9-E560-4B04-A5A2-7AB31C0D2676}" name="Date" dataDxfId="39"/>
    <tableColumn id="2" xr3:uid="{513982DF-98AC-4C36-B5FF-E9D1DE67AC53}" name="Expense Category - Purchased Item"/>
    <tableColumn id="3" xr3:uid="{A9568502-9298-4F11-BFA4-AEA3782D34C5}" name="VendorID"/>
    <tableColumn id="4" xr3:uid="{76DC7E4F-B1B9-41AF-B9FD-596C113C0599}" name="Invoice Number"/>
    <tableColumn id="5" xr3:uid="{E61635B4-ADF7-4412-A1A9-E73A987C420C}" name="Amount"/>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5E7B584-5B5D-4672-A53F-623BFBA2A2EB}" name="Ex2019Oct" displayName="Ex2019Oct" ref="B5:F23" totalsRowShown="0" headerRowDxfId="9">
  <autoFilter ref="B5:F23" xr:uid="{C5E7B584-5B5D-4672-A53F-623BFBA2A2EB}"/>
  <tableColumns count="5">
    <tableColumn id="1" xr3:uid="{E70345EB-123D-4625-8F40-9C9DB4E219C5}" name="Date" dataDxfId="10"/>
    <tableColumn id="2" xr3:uid="{F96B289E-E80C-4832-BC4C-9FB51230BCA1}" name="Expense Category - Purchased Item"/>
    <tableColumn id="3" xr3:uid="{5C2447C6-BA0B-4900-97EC-1CC45E43741F}" name="VendorID"/>
    <tableColumn id="4" xr3:uid="{2A31F3AF-B6B3-4999-96AC-0C59F0FE28FF}" name="Invoice Number"/>
    <tableColumn id="5" xr3:uid="{6EAEE3D8-3CAE-47E7-9FB3-6F1CDE7AFCA4}" name="Amount"/>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F5BD5B9-54B4-4A2B-AF30-D6E5D4E62282}" name="Ex2019Nov" displayName="Ex2019Nov" ref="B5:F15" totalsRowShown="0" headerRowDxfId="38">
  <autoFilter ref="B5:F15" xr:uid="{D8EE7679-C5A8-4B17-B3B5-62A3345F3997}"/>
  <tableColumns count="5">
    <tableColumn id="1" xr3:uid="{1B6DB096-114E-405C-B513-804054825DD8}" name="Date" dataDxfId="37"/>
    <tableColumn id="2" xr3:uid="{8FB5EBEA-962F-4117-B56A-BDD9B4D90CF7}" name="Expense Category - Purchased Item"/>
    <tableColumn id="3" xr3:uid="{D5FB9F55-1B58-4AA6-BFDB-DD48F0B97AC7}" name="VendorID"/>
    <tableColumn id="4" xr3:uid="{03FAD3B9-3F42-4DE5-8C3F-FADCA56A7B6F}" name="Invoice Number"/>
    <tableColumn id="5" xr3:uid="{EEC6CD9B-E3CC-4046-87D8-2FE2A6DF4616}" name="Amount"/>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9A6CBCF1-2283-4B44-A046-10D7FE18B6CE}" name="Ex2019Dec" displayName="Ex2019Dec" ref="B5:F17" totalsRowShown="0" headerRowDxfId="36">
  <autoFilter ref="B5:F17" xr:uid="{5C9B06BC-BBBB-4343-9916-66BDA73CAC26}"/>
  <tableColumns count="5">
    <tableColumn id="1" xr3:uid="{4B2C2276-4693-4CEB-917B-38B5A7A8A1AE}" name="Date" dataDxfId="35"/>
    <tableColumn id="2" xr3:uid="{381212F4-4E86-42D4-B321-501D75F31AE4}" name="Expense Category - Purchased Item"/>
    <tableColumn id="3" xr3:uid="{A1E6F557-822B-4655-8831-7AC1177091C5}" name="VendorID"/>
    <tableColumn id="4" xr3:uid="{29934054-07F0-41E7-99E9-1213EA412F5F}" name="Invoice Number"/>
    <tableColumn id="5" xr3:uid="{D6E57227-694C-4651-A41F-D128274C21E4}" name="Amoun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1A8612E-21DD-4AB9-AECD-7F4492F4296D}" name="Ex2020Jan" displayName="Ex2020Jan" ref="B5:F15" totalsRowShown="0" headerRowDxfId="34">
  <autoFilter ref="B5:F15" xr:uid="{629A7881-7457-44EF-BF73-C1ECE6EECED3}"/>
  <tableColumns count="5">
    <tableColumn id="1" xr3:uid="{AE609433-1BCB-42D8-AE5D-F301502A19B8}" name="Date" dataDxfId="33"/>
    <tableColumn id="2" xr3:uid="{221996A7-EE00-43EE-97E5-39C369D7A73C}" name="Expense Category - Purchased Item"/>
    <tableColumn id="3" xr3:uid="{E4711878-5AC0-4EAD-B7DB-6A97CEE5C931}" name="VendorID"/>
    <tableColumn id="4" xr3:uid="{784EF53F-6D4B-45BB-8624-098447532282}" name="Invoice Number"/>
    <tableColumn id="5" xr3:uid="{F82EFFA7-1B5D-47A8-A07B-C8A0B7C57A5A}" name="Amount"/>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0D5DEA6-8FE9-4283-8C75-069A899F8D56}" name="Ex2020Feb" displayName="Ex2020Feb" ref="B5:F21" totalsRowShown="0" headerRowDxfId="32">
  <autoFilter ref="B5:F21" xr:uid="{4F746726-7AB9-453C-90DF-DA332B96B75C}"/>
  <tableColumns count="5">
    <tableColumn id="1" xr3:uid="{9F06325F-CDA1-4A22-8AFD-F632C43D3C32}" name="Date" dataDxfId="31"/>
    <tableColumn id="2" xr3:uid="{9FD42B9E-8DBF-4F48-964F-5230929AEB43}" name="Expense Category - Purchased Item"/>
    <tableColumn id="3" xr3:uid="{BB539EB4-AF56-4872-8692-BC3C4D834595}" name="VendorID"/>
    <tableColumn id="4" xr3:uid="{4B99E21C-8AB8-4124-8022-BC8D5790E126}" name="Invoice Number"/>
    <tableColumn id="5" xr3:uid="{5AB2F4FF-C1E3-4AB9-8734-43E89C15BE85}" name="Amount"/>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5C09BE2-AAC5-4D8C-904F-2F075A63486D}" name="Ex2020Mar" displayName="Ex2020Mar" ref="B5:F31" totalsRowShown="0" headerRowDxfId="11">
  <autoFilter ref="B5:F31" xr:uid="{55C09BE2-AAC5-4D8C-904F-2F075A63486D}"/>
  <tableColumns count="5">
    <tableColumn id="1" xr3:uid="{04230087-A73D-4674-A9C3-A879B520D0D8}" name="Date" dataDxfId="12"/>
    <tableColumn id="2" xr3:uid="{AE45F796-A6D2-4890-AB0C-2A4ADE9899FD}" name="Expense Category - Purchased Item"/>
    <tableColumn id="3" xr3:uid="{7287A6F6-869B-4CF2-9CFC-2A957FB072C7}" name="VendorID"/>
    <tableColumn id="4" xr3:uid="{8D2496C8-89E3-4601-BE14-70D8F183C948}" name="Invoice Number"/>
    <tableColumn id="5" xr3:uid="{655FEAE1-B8DC-4501-A05E-13B392CEF757}" name="Amount"/>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DD86CAF-BA57-4064-9194-9BDAF08FF317}" name="Ex2020Apr" displayName="Ex2020Apr" ref="B5:F24" totalsRowShown="0" headerRowDxfId="30">
  <autoFilter ref="B5:F24" xr:uid="{297C84CE-8266-437D-AEFB-636B4685B786}"/>
  <tableColumns count="5">
    <tableColumn id="1" xr3:uid="{09100765-E622-4826-AA23-F04CEB2A7CFE}" name="Date" dataDxfId="29"/>
    <tableColumn id="2" xr3:uid="{D209112F-1EE0-4B4B-94D9-18753D107763}" name="Expense Category - Purchased Item"/>
    <tableColumn id="3" xr3:uid="{F333D93C-8D15-48A5-B895-C1A5954C18A9}" name="VendorID"/>
    <tableColumn id="4" xr3:uid="{B52D627D-DA13-465B-ABE4-74AAADA98585}" name="Invoice Number"/>
    <tableColumn id="5" xr3:uid="{02FE0AAB-0A81-4A5D-BA63-F7E1ADB71D9B}" name="Amount"/>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6D35D3B-E691-400D-93C5-5EB5BF63A3E7}" name="Ex2020May" displayName="Ex2020May" ref="B5:F22" totalsRowShown="0" headerRowDxfId="28">
  <autoFilter ref="B5:F22" xr:uid="{5B2D85B6-35E3-43C6-91BC-19D7D098732A}"/>
  <tableColumns count="5">
    <tableColumn id="1" xr3:uid="{7744B17D-291E-4C7F-BFF1-46CA7212F58B}" name="Date" dataDxfId="27"/>
    <tableColumn id="2" xr3:uid="{878E482D-9B59-4832-9A7E-5783DD70D57C}" name="Expense Category - Purchased Item"/>
    <tableColumn id="3" xr3:uid="{31AF37AB-EDF7-4412-8B0D-C305B33A0A13}" name="VendorID"/>
    <tableColumn id="4" xr3:uid="{D52A8472-D9E2-4DCF-BDF6-D78BEC197E80}" name="Invoice Number"/>
    <tableColumn id="5" xr3:uid="{B6DF0133-C7B8-435E-9B41-E8687F303BA2}" name="Amount"/>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26C6DC7-6AA0-4E07-8456-3AC7CAAC7BEE}" name="Ex2020Jun" displayName="Ex2020Jun" ref="B5:F20" totalsRowShown="0" headerRowDxfId="26">
  <autoFilter ref="B5:F20" xr:uid="{37B24C26-C3AD-460E-A168-4E24110BCD41}"/>
  <tableColumns count="5">
    <tableColumn id="1" xr3:uid="{63ED6AD6-85BE-4E69-974A-2A413ABC3F3E}" name="Date" dataDxfId="25"/>
    <tableColumn id="2" xr3:uid="{77E5B6ED-CFE0-4409-8E6E-23CC6C2ADA8C}" name="Expense Category - Purchased Item"/>
    <tableColumn id="3" xr3:uid="{71DA0B67-D946-4A48-BB08-F0B34C878EB4}" name="VendorID"/>
    <tableColumn id="4" xr3:uid="{93217AE3-06B1-427D-99D8-EDE756821523}" name="Invoice Number"/>
    <tableColumn id="5" xr3:uid="{95B1524D-D5FD-4ACE-A844-65517E9E4A08}" name="Amount"/>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3605786-C179-44CA-AB7F-75A9A82A430D}" name="Ex2020Jul" displayName="Ex2020Jul" ref="B5:F27" totalsRowShown="0" headerRowDxfId="24">
  <autoFilter ref="B5:F27" xr:uid="{94400714-AE13-4FE2-B4B8-60EF19A03585}"/>
  <tableColumns count="5">
    <tableColumn id="1" xr3:uid="{41B44602-5C73-4EAA-A042-D126D532229A}" name="Date" dataDxfId="23"/>
    <tableColumn id="2" xr3:uid="{D1A48945-63EB-4323-9D2A-B57CA4FD6429}" name="Expense Category - Purchased Item"/>
    <tableColumn id="3" xr3:uid="{4F46F2DA-4214-450C-889D-CC805B7B1622}" name="VendorID"/>
    <tableColumn id="4" xr3:uid="{CD9B018A-7451-44C6-B8E4-003930C1BDDF}" name="Invoice Number"/>
    <tableColumn id="5" xr3:uid="{D5B0546E-CB24-4378-8C05-73BA6AB858A3}" name="Amount"/>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3E63F92-1B0A-40E3-A5BC-34AE77B1C309}" name="Ex2020Aug" displayName="Ex2020Aug" ref="B5:F34" totalsRowShown="0" headerRowDxfId="22">
  <autoFilter ref="B5:F34" xr:uid="{0E4AC6F9-8FFC-41B8-A700-0BB1C1C4EE1C}"/>
  <tableColumns count="5">
    <tableColumn id="1" xr3:uid="{B230E767-997E-46C0-A78E-07C3A89B38E6}" name="Date" dataDxfId="21"/>
    <tableColumn id="2" xr3:uid="{C83049EE-5141-4310-B28B-7EECE6DDEC25}" name="Expense Category - Purchased Item"/>
    <tableColumn id="3" xr3:uid="{3DA23095-6E56-4AFF-AF49-CBA35A640C3A}" name="VendorID"/>
    <tableColumn id="4" xr3:uid="{13278557-A7B9-4FE5-B527-D0EF7D0DC6CF}" name="Invoice Number"/>
    <tableColumn id="5" xr3:uid="{1BA91887-CAE6-4783-91C0-EC6AFFF46F80}" name="Amount"/>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B04DE08-450E-4273-9E9A-3C1AC641DAC6}" name="Ex2020Sep" displayName="Ex2020Sep" ref="B5:F38" totalsRowShown="0" headerRowDxfId="20">
  <autoFilter ref="B5:F38" xr:uid="{0A2F06EA-2744-4822-A04A-37AE6AFFC2A1}"/>
  <tableColumns count="5">
    <tableColumn id="1" xr3:uid="{74F1E7FC-D964-4000-8BED-A6A932995F9B}" name="Date" dataDxfId="19"/>
    <tableColumn id="2" xr3:uid="{9B171185-7DFC-4D7E-B2EB-2FB99B532D04}" name="Expense Category - Purchased Item"/>
    <tableColumn id="3" xr3:uid="{1081043C-188E-4016-92C5-5A64095219A6}" name="VendorID"/>
    <tableColumn id="4" xr3:uid="{D4600670-0701-45A0-82D9-4B32AF6A3A6B}" name="Invoice Number"/>
    <tableColumn id="5" xr3:uid="{B3D4BA25-56E9-486B-961C-A58C3920503F}" name="Amount"/>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AE994F5D-2737-4B40-B8F0-6403C184869A}" name="Ex2020Oct" displayName="Ex2020Oct" ref="B5:F29" totalsRowShown="0" headerRowDxfId="18">
  <autoFilter ref="B5:F29" xr:uid="{C2E8F293-40D7-492C-A36F-F030762B953C}"/>
  <tableColumns count="5">
    <tableColumn id="1" xr3:uid="{5E156EA8-4E38-4875-BDEC-AD7C3EE7440B}" name="Date" dataDxfId="17"/>
    <tableColumn id="2" xr3:uid="{55832B20-1E33-4195-B8FD-E7934027A1B9}" name="Expense Category - Purchased Item"/>
    <tableColumn id="3" xr3:uid="{F38CFD35-5C67-4384-A58B-CDEB7E06119A}" name="VendorID"/>
    <tableColumn id="4" xr3:uid="{529C648C-EB7F-4D53-99AB-1C2B686D941E}" name="Invoice Number"/>
    <tableColumn id="5" xr3:uid="{4C5AFADE-05D6-4135-BC86-0966713A545D}" name="Amount"/>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E0D9BB5-179E-4BAA-BE57-9BDB9C974DA8}" name="Ex2020Nov" displayName="Ex2020Nov" ref="B5:F18" totalsRowShown="0" headerRowDxfId="16">
  <autoFilter ref="B5:F18" xr:uid="{A1FC8B13-FE9E-4993-AFFD-0A0CDC6BD564}"/>
  <tableColumns count="5">
    <tableColumn id="1" xr3:uid="{A620EABE-05B6-4002-A174-CE60AF18DBFA}" name="Date" dataDxfId="15"/>
    <tableColumn id="2" xr3:uid="{16875DAD-E713-4A7F-B381-E72FEE1D5715}" name="Expense Category - Purchased Item"/>
    <tableColumn id="3" xr3:uid="{0B3FB6AD-6706-43A3-845C-CC5DDD3C8275}" name="VendorID"/>
    <tableColumn id="4" xr3:uid="{41ABE640-6B7C-4426-8779-61981B226F0D}" name="Invoice Number"/>
    <tableColumn id="5" xr3:uid="{D222C66D-F080-47C9-9A82-BC7630E8DB16}" name="Amount"/>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D622B0D5-EB9E-4AF0-A1E5-545781BF9FF6}" name="Ex2020Dac" displayName="Ex2020Dac" ref="B5:F15" totalsRowShown="0" headerRowDxfId="14">
  <autoFilter ref="B5:F15" xr:uid="{EF6529EE-EAAB-4BF9-8193-203DFF2DBA3D}"/>
  <tableColumns count="5">
    <tableColumn id="1" xr3:uid="{F59828EF-9891-43F8-ADB2-2EA9CFFC24A0}" name="Date" dataDxfId="13"/>
    <tableColumn id="2" xr3:uid="{7C69BCC3-1918-42AB-9964-75D4787FC02E}" name="Expense Category - Purchased Item"/>
    <tableColumn id="3" xr3:uid="{7383749E-50BA-40EF-9AAB-6AF565652C2D}" name="VendorID"/>
    <tableColumn id="4" xr3:uid="{83577B79-8443-4E99-87AE-72EBAD5A2DD3}" name="Invoice Number"/>
    <tableColumn id="5" xr3:uid="{FA3B488A-417B-4A43-B4EB-B531EF6F0F5E}" name="Amount"/>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A8DF81F-E482-4D72-AA32-8043E74253EB}" name="Ex2021Jan" displayName="Ex2021Jan" ref="B5:F33" totalsRowShown="0" headerRowDxfId="7">
  <autoFilter ref="B5:F33" xr:uid="{1A8DF81F-E482-4D72-AA32-8043E74253EB}"/>
  <tableColumns count="5">
    <tableColumn id="1" xr3:uid="{DF9B7BAB-A6A5-4DA8-8B79-047C7113751D}" name="Date" dataDxfId="8"/>
    <tableColumn id="2" xr3:uid="{05CF453A-E03F-47B0-B84E-26C4AB978C1F}" name="Expense Category - Purchased Item"/>
    <tableColumn id="3" xr3:uid="{A2C99A11-53DD-4958-B304-A608634530E6}" name="VendorID"/>
    <tableColumn id="4" xr3:uid="{100F2CAC-24D3-4B2E-A526-2B91375E14BE}" name="Invoice Number"/>
    <tableColumn id="5" xr3:uid="{903D2E3E-CBA7-4492-9085-2E362C241D47}" name="Amount"/>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334255A-FBDB-48E3-AE38-B390FD90CBE6}" name="Ex2021Feb" displayName="Ex2021Feb" ref="B5:F44" totalsRowShown="0" headerRowDxfId="5">
  <autoFilter ref="B5:F44" xr:uid="{9334255A-FBDB-48E3-AE38-B390FD90CBE6}"/>
  <tableColumns count="5">
    <tableColumn id="1" xr3:uid="{F8838511-B81D-474F-8616-71BA91FBE903}" name="Date" dataDxfId="6"/>
    <tableColumn id="2" xr3:uid="{ED23DFFB-611E-4AB8-9B87-96383A3AA0CE}" name="Expense Category - Purchased Item"/>
    <tableColumn id="3" xr3:uid="{B064A4ED-6693-4DC3-B91F-10DE7D9EFB68}" name="VendorID"/>
    <tableColumn id="4" xr3:uid="{09B93803-188D-4F2B-86E5-9198FA0024CB}" name="Invoice Number"/>
    <tableColumn id="5" xr3:uid="{943174B3-0676-4F49-B512-EF08B13B254B}" name="Amount"/>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4EE9B89-64C2-44E3-B027-667224A0018D}" name="Ex2021Mar" displayName="Ex2021Mar" ref="B5:F48" totalsRowShown="0" headerRowDxfId="3">
  <autoFilter ref="B5:F48" xr:uid="{04EE9B89-64C2-44E3-B027-667224A0018D}"/>
  <tableColumns count="5">
    <tableColumn id="1" xr3:uid="{14CD00E6-22A6-492B-83CE-6412019BAF6E}" name="Date" dataDxfId="4"/>
    <tableColumn id="2" xr3:uid="{DB486A6C-0D23-4134-AA01-2028AD4B36DE}" name="Expense Category - Purchased Item"/>
    <tableColumn id="3" xr3:uid="{C2966ACF-7116-4515-9B5F-EC8913BAC9F1}" name="VendorID"/>
    <tableColumn id="4" xr3:uid="{1A0B1872-3AD4-48E4-B27A-36BB8AA423E2}" name="Invoice Number"/>
    <tableColumn id="5" xr3:uid="{D662AA60-2F0B-42B1-817E-F7F0F1D5F261}" name="Amoun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31.xml.rels><?xml version="1.0" encoding="UTF-8" standalone="yes"?>
<Relationships xmlns="http://schemas.openxmlformats.org/package/2006/relationships"><Relationship Id="rId1"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C673C1-1B2F-4B44-AFE7-00A6EEECF2E4}">
  <sheetPr codeName="Sheet1">
    <tabColor rgb="FFFF0000"/>
  </sheetPr>
  <dimension ref="A1:F30"/>
  <sheetViews>
    <sheetView zoomScaleNormal="100" workbookViewId="0">
      <selection activeCell="B29" sqref="B29"/>
    </sheetView>
  </sheetViews>
  <sheetFormatPr defaultRowHeight="14.4" x14ac:dyDescent="0.3"/>
  <cols>
    <col min="1" max="1" width="99" bestFit="1" customWidth="1"/>
    <col min="2" max="2" width="14.5546875" bestFit="1" customWidth="1"/>
    <col min="3" max="3" width="13.33203125" bestFit="1" customWidth="1"/>
    <col min="4" max="4" width="38.109375" bestFit="1" customWidth="1"/>
    <col min="6" max="6" width="13.44140625" bestFit="1" customWidth="1"/>
  </cols>
  <sheetData>
    <row r="1" spans="1:6" x14ac:dyDescent="0.3">
      <c r="A1" s="2" t="s">
        <v>0</v>
      </c>
      <c r="B1" s="2" t="s">
        <v>1</v>
      </c>
      <c r="C1" s="2" t="s">
        <v>2</v>
      </c>
      <c r="D1" s="2" t="s">
        <v>3</v>
      </c>
      <c r="F1" s="2" t="s">
        <v>4</v>
      </c>
    </row>
    <row r="2" spans="1:6" x14ac:dyDescent="0.3">
      <c r="A2" s="4" t="s">
        <v>78</v>
      </c>
      <c r="B2" s="1">
        <f t="shared" ref="B2:B27" si="0">$F$2/ROWS($B$2:$B$27)</f>
        <v>2.3076923076923075</v>
      </c>
      <c r="C2" s="1">
        <f t="shared" ref="C2" si="1">B2</f>
        <v>2.3076923076923075</v>
      </c>
      <c r="D2" s="4"/>
      <c r="F2" s="1">
        <v>60</v>
      </c>
    </row>
    <row r="3" spans="1:6" x14ac:dyDescent="0.3">
      <c r="A3" s="4" t="s">
        <v>79</v>
      </c>
      <c r="B3" s="1">
        <f t="shared" si="0"/>
        <v>2.3076923076923075</v>
      </c>
      <c r="C3" s="1">
        <f t="shared" ref="C3:C27" si="2">B3</f>
        <v>2.3076923076923075</v>
      </c>
      <c r="D3" s="4"/>
    </row>
    <row r="4" spans="1:6" x14ac:dyDescent="0.3">
      <c r="A4" s="4" t="s">
        <v>81</v>
      </c>
      <c r="B4" s="1">
        <f t="shared" si="0"/>
        <v>2.3076923076923075</v>
      </c>
      <c r="C4" s="1">
        <f t="shared" si="2"/>
        <v>2.3076923076923075</v>
      </c>
      <c r="D4" s="4"/>
    </row>
    <row r="5" spans="1:6" x14ac:dyDescent="0.3">
      <c r="A5" s="4" t="s">
        <v>80</v>
      </c>
      <c r="B5" s="1">
        <f t="shared" si="0"/>
        <v>2.3076923076923075</v>
      </c>
      <c r="C5" s="1">
        <f t="shared" si="2"/>
        <v>2.3076923076923075</v>
      </c>
      <c r="D5" s="4"/>
    </row>
    <row r="6" spans="1:6" x14ac:dyDescent="0.3">
      <c r="A6" s="4" t="s">
        <v>82</v>
      </c>
      <c r="B6" s="1">
        <f t="shared" si="0"/>
        <v>2.3076923076923075</v>
      </c>
      <c r="C6" s="1">
        <f t="shared" si="2"/>
        <v>2.3076923076923075</v>
      </c>
      <c r="D6" s="4"/>
    </row>
    <row r="7" spans="1:6" x14ac:dyDescent="0.3">
      <c r="A7" s="4" t="s">
        <v>84</v>
      </c>
      <c r="B7" s="1">
        <f t="shared" si="0"/>
        <v>2.3076923076923075</v>
      </c>
      <c r="C7" s="1">
        <f t="shared" ref="C7:C18" si="3">B7</f>
        <v>2.3076923076923075</v>
      </c>
      <c r="D7" s="4"/>
    </row>
    <row r="8" spans="1:6" x14ac:dyDescent="0.3">
      <c r="A8" s="4" t="s">
        <v>83</v>
      </c>
      <c r="B8" s="1">
        <f t="shared" si="0"/>
        <v>2.3076923076923075</v>
      </c>
      <c r="C8" s="1">
        <f t="shared" si="3"/>
        <v>2.3076923076923075</v>
      </c>
      <c r="D8" s="4"/>
    </row>
    <row r="9" spans="1:6" ht="43.2" x14ac:dyDescent="0.3">
      <c r="A9" s="4" t="s">
        <v>85</v>
      </c>
      <c r="B9" s="1">
        <f t="shared" si="0"/>
        <v>2.3076923076923075</v>
      </c>
      <c r="C9" s="1">
        <f t="shared" si="3"/>
        <v>2.3076923076923075</v>
      </c>
      <c r="D9" s="4"/>
    </row>
    <row r="10" spans="1:6" x14ac:dyDescent="0.3">
      <c r="A10" s="4" t="s">
        <v>87</v>
      </c>
      <c r="B10" s="1">
        <f t="shared" si="0"/>
        <v>2.3076923076923075</v>
      </c>
      <c r="C10" s="1">
        <f t="shared" ref="C10" si="4">B10</f>
        <v>2.3076923076923075</v>
      </c>
      <c r="D10" s="4"/>
    </row>
    <row r="11" spans="1:6" x14ac:dyDescent="0.3">
      <c r="A11" s="4" t="s">
        <v>86</v>
      </c>
      <c r="B11" s="1">
        <f t="shared" si="0"/>
        <v>2.3076923076923075</v>
      </c>
      <c r="C11" s="1">
        <f t="shared" si="3"/>
        <v>2.3076923076923075</v>
      </c>
      <c r="D11" s="4"/>
    </row>
    <row r="12" spans="1:6" x14ac:dyDescent="0.3">
      <c r="A12" s="4" t="s">
        <v>88</v>
      </c>
      <c r="B12" s="1">
        <f t="shared" si="0"/>
        <v>2.3076923076923075</v>
      </c>
      <c r="C12" s="1">
        <f t="shared" si="3"/>
        <v>2.3076923076923075</v>
      </c>
      <c r="D12" s="4"/>
    </row>
    <row r="13" spans="1:6" x14ac:dyDescent="0.3">
      <c r="A13" s="4" t="s">
        <v>89</v>
      </c>
      <c r="B13" s="1">
        <f t="shared" si="0"/>
        <v>2.3076923076923075</v>
      </c>
      <c r="C13" s="1">
        <f t="shared" si="3"/>
        <v>2.3076923076923075</v>
      </c>
      <c r="D13" s="4"/>
    </row>
    <row r="14" spans="1:6" x14ac:dyDescent="0.3">
      <c r="A14" s="4" t="s">
        <v>90</v>
      </c>
      <c r="B14" s="1">
        <f t="shared" si="0"/>
        <v>2.3076923076923075</v>
      </c>
      <c r="C14" s="1">
        <f t="shared" ref="C14" si="5">B14</f>
        <v>2.3076923076923075</v>
      </c>
      <c r="D14" s="4"/>
    </row>
    <row r="15" spans="1:6" x14ac:dyDescent="0.3">
      <c r="A15" s="4" t="s">
        <v>91</v>
      </c>
      <c r="B15" s="1">
        <f t="shared" si="0"/>
        <v>2.3076923076923075</v>
      </c>
      <c r="C15" s="1">
        <f t="shared" si="3"/>
        <v>2.3076923076923075</v>
      </c>
      <c r="D15" s="4"/>
    </row>
    <row r="16" spans="1:6" x14ac:dyDescent="0.3">
      <c r="A16" s="4" t="s">
        <v>98</v>
      </c>
      <c r="B16" s="1">
        <f t="shared" si="0"/>
        <v>2.3076923076923075</v>
      </c>
      <c r="C16" s="1">
        <f t="shared" si="3"/>
        <v>2.3076923076923075</v>
      </c>
      <c r="D16" s="4"/>
    </row>
    <row r="17" spans="1:4" x14ac:dyDescent="0.3">
      <c r="A17" s="4" t="s">
        <v>97</v>
      </c>
      <c r="B17" s="1">
        <f t="shared" si="0"/>
        <v>2.3076923076923075</v>
      </c>
      <c r="C17" s="1">
        <f t="shared" si="3"/>
        <v>2.3076923076923075</v>
      </c>
      <c r="D17" s="4"/>
    </row>
    <row r="18" spans="1:4" x14ac:dyDescent="0.3">
      <c r="A18" s="4" t="s">
        <v>99</v>
      </c>
      <c r="B18" s="1">
        <f t="shared" si="0"/>
        <v>2.3076923076923075</v>
      </c>
      <c r="C18" s="1">
        <f t="shared" si="3"/>
        <v>2.3076923076923075</v>
      </c>
      <c r="D18" s="4"/>
    </row>
    <row r="19" spans="1:4" x14ac:dyDescent="0.3">
      <c r="A19" s="4" t="s">
        <v>100</v>
      </c>
      <c r="B19" s="1">
        <f t="shared" si="0"/>
        <v>2.3076923076923075</v>
      </c>
      <c r="C19" s="1">
        <f t="shared" si="2"/>
        <v>2.3076923076923075</v>
      </c>
      <c r="D19" s="4"/>
    </row>
    <row r="20" spans="1:4" x14ac:dyDescent="0.3">
      <c r="A20" s="4" t="s">
        <v>92</v>
      </c>
      <c r="B20" s="1">
        <f t="shared" si="0"/>
        <v>2.3076923076923075</v>
      </c>
      <c r="C20" s="1">
        <f t="shared" si="2"/>
        <v>2.3076923076923075</v>
      </c>
      <c r="D20" s="4"/>
    </row>
    <row r="21" spans="1:4" ht="28.8" x14ac:dyDescent="0.3">
      <c r="A21" s="4" t="s">
        <v>93</v>
      </c>
      <c r="B21" s="1">
        <f t="shared" si="0"/>
        <v>2.3076923076923075</v>
      </c>
      <c r="C21" s="1">
        <f t="shared" si="2"/>
        <v>2.3076923076923075</v>
      </c>
      <c r="D21" s="4"/>
    </row>
    <row r="22" spans="1:4" x14ac:dyDescent="0.3">
      <c r="A22" s="4" t="s">
        <v>94</v>
      </c>
      <c r="B22" s="1">
        <f t="shared" si="0"/>
        <v>2.3076923076923075</v>
      </c>
      <c r="C22" s="1">
        <f t="shared" si="2"/>
        <v>2.3076923076923075</v>
      </c>
      <c r="D22" s="4"/>
    </row>
    <row r="23" spans="1:4" x14ac:dyDescent="0.3">
      <c r="A23" s="4" t="s">
        <v>96</v>
      </c>
      <c r="B23" s="1">
        <f t="shared" si="0"/>
        <v>2.3076923076923075</v>
      </c>
      <c r="C23" s="1">
        <f t="shared" si="2"/>
        <v>2.3076923076923075</v>
      </c>
      <c r="D23" s="4"/>
    </row>
    <row r="24" spans="1:4" x14ac:dyDescent="0.3">
      <c r="A24" s="4" t="s">
        <v>95</v>
      </c>
      <c r="B24" s="1">
        <f t="shared" si="0"/>
        <v>2.3076923076923075</v>
      </c>
      <c r="C24" s="1">
        <f t="shared" si="2"/>
        <v>2.3076923076923075</v>
      </c>
      <c r="D24" s="4"/>
    </row>
    <row r="25" spans="1:4" x14ac:dyDescent="0.3">
      <c r="A25" s="4" t="s">
        <v>101</v>
      </c>
      <c r="B25" s="1">
        <f t="shared" si="0"/>
        <v>2.3076923076923075</v>
      </c>
      <c r="C25" s="1">
        <f t="shared" si="2"/>
        <v>2.3076923076923075</v>
      </c>
      <c r="D25" s="4"/>
    </row>
    <row r="26" spans="1:4" x14ac:dyDescent="0.3">
      <c r="A26" s="4" t="s">
        <v>102</v>
      </c>
      <c r="B26" s="1">
        <f t="shared" si="0"/>
        <v>2.3076923076923075</v>
      </c>
      <c r="C26" s="1">
        <f t="shared" si="2"/>
        <v>2.3076923076923075</v>
      </c>
      <c r="D26" s="4"/>
    </row>
    <row r="27" spans="1:4" x14ac:dyDescent="0.3">
      <c r="A27" s="4" t="s">
        <v>103</v>
      </c>
      <c r="B27" s="1">
        <f t="shared" si="0"/>
        <v>2.3076923076923075</v>
      </c>
      <c r="C27" s="1">
        <f t="shared" si="2"/>
        <v>2.3076923076923075</v>
      </c>
      <c r="D27" s="4"/>
    </row>
    <row r="28" spans="1:4" x14ac:dyDescent="0.3">
      <c r="A28" s="3" t="s">
        <v>4</v>
      </c>
      <c r="B28" s="1">
        <f>SUM(B2:B27)</f>
        <v>59.999999999999979</v>
      </c>
      <c r="C28" s="1"/>
      <c r="D28" s="1"/>
    </row>
    <row r="29" spans="1:4" x14ac:dyDescent="0.3">
      <c r="B29" s="3" t="s">
        <v>6</v>
      </c>
      <c r="C29" s="1">
        <f>IF(B29="Late = Yes",-0.25*SUM(C2:C27),0)</f>
        <v>0</v>
      </c>
      <c r="D29" s="1" t="str">
        <f>IF(C29&lt;0,"In accordance with test rules for the class","")</f>
        <v/>
      </c>
    </row>
    <row r="30" spans="1:4" x14ac:dyDescent="0.3">
      <c r="B30" s="3" t="s">
        <v>5</v>
      </c>
      <c r="C30" s="1">
        <f>SUM(C2:C29)</f>
        <v>59.999999999999979</v>
      </c>
      <c r="D30" s="1"/>
    </row>
  </sheetData>
  <conditionalFormatting sqref="B29:C29">
    <cfRule type="expression" dxfId="2" priority="41">
      <formula>$C$29&lt;&gt;0</formula>
    </cfRule>
  </conditionalFormatting>
  <conditionalFormatting sqref="D29">
    <cfRule type="expression" dxfId="1" priority="40">
      <formula>$C$29&lt;&gt;0</formula>
    </cfRule>
  </conditionalFormatting>
  <conditionalFormatting sqref="A2:D27">
    <cfRule type="expression" dxfId="0" priority="1">
      <formula>$B2&lt;&gt;$C2</formula>
    </cfRule>
  </conditionalFormatting>
  <dataValidations count="1">
    <dataValidation type="list" allowBlank="1" showInputMessage="1" showErrorMessage="1" sqref="B29" xr:uid="{96254603-B57D-48D2-ABB2-B5DA7D35574E}">
      <formula1>"Late = Yes,Late = 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3EE49C-31FE-4725-9353-5D26B2C886B4}">
  <sheetPr codeName="Sheet5">
    <tabColor rgb="FF0000FF"/>
  </sheetPr>
  <dimension ref="B3:I34"/>
  <sheetViews>
    <sheetView showGridLines="0" zoomScale="115" zoomScaleNormal="115" workbookViewId="0">
      <selection activeCell="L12" sqref="L12"/>
    </sheetView>
  </sheetViews>
  <sheetFormatPr defaultRowHeight="14.4" x14ac:dyDescent="0.3"/>
  <cols>
    <col min="2" max="2" width="20.44140625" bestFit="1" customWidth="1"/>
    <col min="3" max="4" width="9.33203125" bestFit="1" customWidth="1"/>
    <col min="5" max="5" width="10.77734375" bestFit="1" customWidth="1"/>
  </cols>
  <sheetData>
    <row r="3" spans="2:9" x14ac:dyDescent="0.3">
      <c r="B3" s="8" t="s">
        <v>105</v>
      </c>
      <c r="C3" s="8" t="s">
        <v>7</v>
      </c>
      <c r="D3" t="s">
        <v>122</v>
      </c>
      <c r="G3" s="8" t="s">
        <v>105</v>
      </c>
      <c r="H3" s="8" t="s">
        <v>7</v>
      </c>
      <c r="I3" t="s">
        <v>123</v>
      </c>
    </row>
    <row r="4" spans="2:9" x14ac:dyDescent="0.3">
      <c r="B4" t="s">
        <v>106</v>
      </c>
      <c r="C4" t="s">
        <v>110</v>
      </c>
      <c r="D4" s="9">
        <v>3509.4799999999996</v>
      </c>
      <c r="G4" t="s">
        <v>106</v>
      </c>
      <c r="H4" t="s">
        <v>110</v>
      </c>
      <c r="I4" s="9">
        <v>233.96533333333329</v>
      </c>
    </row>
    <row r="5" spans="2:9" x14ac:dyDescent="0.3">
      <c r="C5" t="s">
        <v>111</v>
      </c>
      <c r="D5" s="9">
        <v>9170.9599999999991</v>
      </c>
      <c r="H5" t="s">
        <v>111</v>
      </c>
      <c r="I5" s="9">
        <v>458.54799999999994</v>
      </c>
    </row>
    <row r="6" spans="2:9" x14ac:dyDescent="0.3">
      <c r="C6" t="s">
        <v>112</v>
      </c>
      <c r="D6" s="9">
        <v>1273.97</v>
      </c>
      <c r="H6" t="s">
        <v>112</v>
      </c>
      <c r="I6" s="9">
        <v>74.939411764705881</v>
      </c>
    </row>
    <row r="7" spans="2:9" x14ac:dyDescent="0.3">
      <c r="C7" t="s">
        <v>113</v>
      </c>
      <c r="D7" s="9">
        <v>13364.939999999999</v>
      </c>
      <c r="H7" t="s">
        <v>113</v>
      </c>
      <c r="I7" s="9">
        <v>445.49799999999993</v>
      </c>
    </row>
    <row r="8" spans="2:9" x14ac:dyDescent="0.3">
      <c r="C8" t="s">
        <v>114</v>
      </c>
      <c r="D8" s="9">
        <v>3931.9300000000003</v>
      </c>
      <c r="H8" t="s">
        <v>114</v>
      </c>
      <c r="I8" s="9">
        <v>393.19300000000004</v>
      </c>
    </row>
    <row r="9" spans="2:9" x14ac:dyDescent="0.3">
      <c r="C9" t="s">
        <v>115</v>
      </c>
      <c r="D9" s="9">
        <v>10395.36</v>
      </c>
      <c r="H9" t="s">
        <v>115</v>
      </c>
      <c r="I9" s="9">
        <v>433.14000000000004</v>
      </c>
    </row>
    <row r="10" spans="2:9" x14ac:dyDescent="0.3">
      <c r="C10" t="s">
        <v>116</v>
      </c>
      <c r="D10" s="9">
        <v>602.97</v>
      </c>
      <c r="H10" t="s">
        <v>116</v>
      </c>
      <c r="I10" s="9">
        <v>18.271818181818183</v>
      </c>
    </row>
    <row r="11" spans="2:9" x14ac:dyDescent="0.3">
      <c r="C11" t="s">
        <v>117</v>
      </c>
      <c r="D11" s="9">
        <v>1824.5699999999997</v>
      </c>
      <c r="H11" t="s">
        <v>117</v>
      </c>
      <c r="I11" s="9">
        <v>86.884285714285696</v>
      </c>
    </row>
    <row r="12" spans="2:9" x14ac:dyDescent="0.3">
      <c r="C12" t="s">
        <v>118</v>
      </c>
      <c r="D12" s="9">
        <v>1316.8500000000001</v>
      </c>
      <c r="H12" t="s">
        <v>118</v>
      </c>
      <c r="I12" s="9">
        <v>41.151562500000004</v>
      </c>
    </row>
    <row r="13" spans="2:9" x14ac:dyDescent="0.3">
      <c r="C13" t="s">
        <v>119</v>
      </c>
      <c r="D13" s="9">
        <v>8778.8499999999985</v>
      </c>
      <c r="H13" t="s">
        <v>119</v>
      </c>
      <c r="I13" s="9">
        <v>487.71388888888879</v>
      </c>
    </row>
    <row r="14" spans="2:9" x14ac:dyDescent="0.3">
      <c r="C14" t="s">
        <v>120</v>
      </c>
      <c r="D14" s="9">
        <v>811.34999999999991</v>
      </c>
      <c r="H14" t="s">
        <v>120</v>
      </c>
      <c r="I14" s="9">
        <v>81.134999999999991</v>
      </c>
    </row>
    <row r="15" spans="2:9" x14ac:dyDescent="0.3">
      <c r="C15" t="s">
        <v>121</v>
      </c>
      <c r="D15" s="9">
        <v>688.02</v>
      </c>
      <c r="H15" t="s">
        <v>121</v>
      </c>
      <c r="I15" s="9">
        <v>57.335000000000001</v>
      </c>
    </row>
    <row r="16" spans="2:9" x14ac:dyDescent="0.3">
      <c r="B16" t="s">
        <v>107</v>
      </c>
      <c r="D16" s="9">
        <v>55669.249999999993</v>
      </c>
      <c r="G16" t="s">
        <v>107</v>
      </c>
      <c r="I16" s="9">
        <v>230.03822314049603</v>
      </c>
    </row>
    <row r="17" spans="2:9" x14ac:dyDescent="0.3">
      <c r="B17" t="s">
        <v>108</v>
      </c>
      <c r="C17" t="s">
        <v>110</v>
      </c>
      <c r="D17" s="9">
        <v>1300.3999999999999</v>
      </c>
      <c r="G17" t="s">
        <v>108</v>
      </c>
      <c r="H17" t="s">
        <v>110</v>
      </c>
      <c r="I17" s="9">
        <v>130.04</v>
      </c>
    </row>
    <row r="18" spans="2:9" x14ac:dyDescent="0.3">
      <c r="C18" t="s">
        <v>111</v>
      </c>
      <c r="D18" s="9">
        <v>863.43000000000006</v>
      </c>
      <c r="H18" t="s">
        <v>111</v>
      </c>
      <c r="I18" s="9">
        <v>53.964375000000004</v>
      </c>
    </row>
    <row r="19" spans="2:9" x14ac:dyDescent="0.3">
      <c r="C19" t="s">
        <v>112</v>
      </c>
      <c r="D19" s="9">
        <v>1722.6900000000003</v>
      </c>
      <c r="H19" t="s">
        <v>112</v>
      </c>
      <c r="I19" s="9">
        <v>66.257307692307705</v>
      </c>
    </row>
    <row r="20" spans="2:9" x14ac:dyDescent="0.3">
      <c r="C20" t="s">
        <v>113</v>
      </c>
      <c r="D20" s="9">
        <v>9318.8599999999988</v>
      </c>
      <c r="H20" t="s">
        <v>113</v>
      </c>
      <c r="I20" s="9">
        <v>490.46631578947364</v>
      </c>
    </row>
    <row r="21" spans="2:9" x14ac:dyDescent="0.3">
      <c r="C21" t="s">
        <v>114</v>
      </c>
      <c r="D21" s="9">
        <v>1674.6200000000001</v>
      </c>
      <c r="H21" t="s">
        <v>114</v>
      </c>
      <c r="I21" s="9">
        <v>98.50705882352942</v>
      </c>
    </row>
    <row r="22" spans="2:9" x14ac:dyDescent="0.3">
      <c r="C22" t="s">
        <v>115</v>
      </c>
      <c r="D22" s="9">
        <v>978.8599999999999</v>
      </c>
      <c r="H22" t="s">
        <v>115</v>
      </c>
      <c r="I22" s="9">
        <v>65.257333333333321</v>
      </c>
    </row>
    <row r="23" spans="2:9" x14ac:dyDescent="0.3">
      <c r="C23" t="s">
        <v>116</v>
      </c>
      <c r="D23" s="9">
        <v>2991.4200000000005</v>
      </c>
      <c r="H23" t="s">
        <v>116</v>
      </c>
      <c r="I23" s="9">
        <v>135.97363636363639</v>
      </c>
    </row>
    <row r="24" spans="2:9" x14ac:dyDescent="0.3">
      <c r="C24" t="s">
        <v>117</v>
      </c>
      <c r="D24" s="9">
        <v>12701.059999999998</v>
      </c>
      <c r="H24" t="s">
        <v>117</v>
      </c>
      <c r="I24" s="9">
        <v>437.9675862068965</v>
      </c>
    </row>
    <row r="25" spans="2:9" x14ac:dyDescent="0.3">
      <c r="C25" t="s">
        <v>118</v>
      </c>
      <c r="D25" s="9">
        <v>4901.0700000000015</v>
      </c>
      <c r="H25" t="s">
        <v>118</v>
      </c>
      <c r="I25" s="9">
        <v>148.51727272727277</v>
      </c>
    </row>
    <row r="26" spans="2:9" x14ac:dyDescent="0.3">
      <c r="C26" t="s">
        <v>119</v>
      </c>
      <c r="D26" s="9">
        <v>1894.1200000000003</v>
      </c>
      <c r="H26" t="s">
        <v>119</v>
      </c>
      <c r="I26" s="9">
        <v>78.921666666666681</v>
      </c>
    </row>
    <row r="27" spans="2:9" x14ac:dyDescent="0.3">
      <c r="C27" t="s">
        <v>120</v>
      </c>
      <c r="D27" s="9">
        <v>541.92999999999995</v>
      </c>
      <c r="H27" t="s">
        <v>120</v>
      </c>
      <c r="I27" s="9">
        <v>41.686923076923073</v>
      </c>
    </row>
    <row r="28" spans="2:9" x14ac:dyDescent="0.3">
      <c r="C28" t="s">
        <v>121</v>
      </c>
      <c r="D28" s="9">
        <v>640.68000000000006</v>
      </c>
      <c r="H28" t="s">
        <v>121</v>
      </c>
      <c r="I28" s="9">
        <v>64.068000000000012</v>
      </c>
    </row>
    <row r="29" spans="2:9" x14ac:dyDescent="0.3">
      <c r="B29" t="s">
        <v>109</v>
      </c>
      <c r="D29" s="9">
        <v>39529.140000000007</v>
      </c>
      <c r="G29" t="s">
        <v>109</v>
      </c>
      <c r="I29" s="9">
        <v>168.92794871794868</v>
      </c>
    </row>
    <row r="30" spans="2:9" x14ac:dyDescent="0.3">
      <c r="B30" t="s">
        <v>125</v>
      </c>
      <c r="C30" t="s">
        <v>110</v>
      </c>
      <c r="D30" s="9">
        <v>6739.329999999999</v>
      </c>
      <c r="G30" t="s">
        <v>125</v>
      </c>
      <c r="H30" t="s">
        <v>110</v>
      </c>
      <c r="I30" s="9">
        <v>240.6903571428571</v>
      </c>
    </row>
    <row r="31" spans="2:9" x14ac:dyDescent="0.3">
      <c r="C31" t="s">
        <v>111</v>
      </c>
      <c r="D31" s="9">
        <v>16296.82</v>
      </c>
      <c r="H31" t="s">
        <v>111</v>
      </c>
      <c r="I31" s="9">
        <v>417.8671794871795</v>
      </c>
    </row>
    <row r="32" spans="2:9" x14ac:dyDescent="0.3">
      <c r="C32" t="s">
        <v>112</v>
      </c>
      <c r="D32" s="9">
        <v>25893.910000000007</v>
      </c>
      <c r="H32" t="s">
        <v>112</v>
      </c>
      <c r="I32" s="9">
        <v>602.18395348837225</v>
      </c>
    </row>
    <row r="33" spans="2:9" x14ac:dyDescent="0.3">
      <c r="B33" t="s">
        <v>126</v>
      </c>
      <c r="D33" s="9">
        <v>48930.060000000005</v>
      </c>
      <c r="G33" t="s">
        <v>126</v>
      </c>
      <c r="I33" s="9">
        <v>444.81872727272713</v>
      </c>
    </row>
    <row r="34" spans="2:9" x14ac:dyDescent="0.3">
      <c r="B34" t="s">
        <v>104</v>
      </c>
      <c r="D34" s="9">
        <v>144128.44999999998</v>
      </c>
      <c r="G34" t="s">
        <v>104</v>
      </c>
      <c r="I34" s="9">
        <v>245.95298634812289</v>
      </c>
    </row>
  </sheetData>
  <pageMargins left="0.7" right="0.7" top="0.75" bottom="0.75" header="0.3" footer="0.3"/>
  <pageSetup paperSize="5" orientation="portrait" horizontalDpi="4294967293" verticalDpi="0"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0000FF"/>
  </sheetPr>
  <dimension ref="A2:X2"/>
  <sheetViews>
    <sheetView showGridLines="0" tabSelected="1" topLeftCell="A2" zoomScaleNormal="100" workbookViewId="0">
      <selection activeCell="V10" sqref="V10"/>
    </sheetView>
  </sheetViews>
  <sheetFormatPr defaultRowHeight="14.4" x14ac:dyDescent="0.3"/>
  <cols>
    <col min="1" max="1" width="8.88671875" customWidth="1"/>
    <col min="24" max="24" width="9.77734375" customWidth="1"/>
  </cols>
  <sheetData>
    <row r="2" spans="1:24" ht="25.8" x14ac:dyDescent="0.3">
      <c r="A2" s="10" t="s">
        <v>124</v>
      </c>
      <c r="B2" s="10"/>
      <c r="C2" s="10"/>
      <c r="D2" s="10"/>
      <c r="E2" s="10"/>
      <c r="F2" s="10"/>
      <c r="G2" s="10"/>
      <c r="H2" s="10"/>
      <c r="I2" s="10"/>
      <c r="J2" s="10"/>
      <c r="K2" s="10"/>
      <c r="L2" s="10"/>
      <c r="M2" s="10"/>
      <c r="N2" s="10"/>
      <c r="O2" s="10"/>
      <c r="P2" s="10"/>
      <c r="Q2" s="10"/>
      <c r="R2" s="10"/>
      <c r="S2" s="10"/>
      <c r="T2" s="10"/>
      <c r="U2" s="10"/>
      <c r="V2" s="10"/>
      <c r="W2" s="10"/>
      <c r="X2" s="10"/>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EE7C0-C3F9-4486-9158-15B10A77AD03}">
  <sheetPr codeName="Sheet4">
    <tabColor rgb="FF0000FF"/>
  </sheetPr>
  <dimension ref="A2:B2"/>
  <sheetViews>
    <sheetView showGridLines="0" zoomScale="115" zoomScaleNormal="115" workbookViewId="0">
      <selection activeCell="A3" sqref="A3"/>
    </sheetView>
  </sheetViews>
  <sheetFormatPr defaultRowHeight="14.4" x14ac:dyDescent="0.3"/>
  <cols>
    <col min="1" max="1" width="34.33203125" bestFit="1" customWidth="1"/>
  </cols>
  <sheetData>
    <row r="2" spans="1:2" x14ac:dyDescent="0.3">
      <c r="A2" t="s">
        <v>77</v>
      </c>
      <c r="B2" t="str">
        <f ca="1">_xlfn.TEXTJOIN(", ",,'19(1):20(12)'!C3)</f>
        <v>19(1), 19(2), 19(3), 19(4), 19(5), 19(6), 19(7), 19(8), 19(9), 19(10), 19(11), 19(12), 20(1), 20(2), 20(3), 20(4), 20(5), 20(6), 20(7), 20(8), 20(9), 20(10), 20(11), 20(12)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2C6A36-B954-414A-AAD0-290E4368CC00}">
  <sheetPr codeName="Sheet2">
    <tabColor rgb="FF0000FF"/>
  </sheetPr>
  <dimension ref="B2:F20"/>
  <sheetViews>
    <sheetView workbookViewId="0">
      <selection activeCell="B5" sqref="B5"/>
    </sheetView>
  </sheetViews>
  <sheetFormatPr defaultRowHeight="14.4" x14ac:dyDescent="0.3"/>
  <cols>
    <col min="2" max="2" width="15" customWidth="1"/>
    <col min="3" max="3" width="40.109375" bestFit="1" customWidth="1"/>
    <col min="4" max="4" width="20.109375" bestFit="1" customWidth="1"/>
    <col min="5" max="5" width="17.33203125" customWidth="1"/>
    <col min="6" max="6" width="10.33203125" customWidth="1"/>
  </cols>
  <sheetData>
    <row r="2" spans="2:6" x14ac:dyDescent="0.3">
      <c r="B2" t="s">
        <v>32</v>
      </c>
      <c r="C2" t="str">
        <f>"Ex"&amp;TEXT(B6,"yyyymmm")</f>
        <v>Ex2019Jan</v>
      </c>
    </row>
    <row r="3" spans="2:6" x14ac:dyDescent="0.3">
      <c r="B3" t="s">
        <v>33</v>
      </c>
      <c r="C3" s="7" t="str" cm="1">
        <f t="array" aca="1" ref="C3" ca="1">REPLACE(CELL("filename",A1),1,SEARCH("]",CELL("filename",A1)),"")</f>
        <v>19(1)</v>
      </c>
    </row>
    <row r="5" spans="2:6" x14ac:dyDescent="0.3">
      <c r="B5" s="6" t="s">
        <v>7</v>
      </c>
      <c r="C5" s="6" t="s">
        <v>8</v>
      </c>
      <c r="D5" s="6" t="s">
        <v>9</v>
      </c>
      <c r="E5" s="6" t="s">
        <v>10</v>
      </c>
      <c r="F5" s="6" t="s">
        <v>11</v>
      </c>
    </row>
    <row r="6" spans="2:6" x14ac:dyDescent="0.3">
      <c r="B6" s="5">
        <v>43468</v>
      </c>
      <c r="C6" t="s">
        <v>12</v>
      </c>
      <c r="D6" t="s">
        <v>13</v>
      </c>
      <c r="E6">
        <v>18831</v>
      </c>
      <c r="F6">
        <v>208.61</v>
      </c>
    </row>
    <row r="7" spans="2:6" x14ac:dyDescent="0.3">
      <c r="B7" s="5">
        <v>43468</v>
      </c>
      <c r="C7" t="s">
        <v>14</v>
      </c>
      <c r="D7" t="s">
        <v>15</v>
      </c>
      <c r="E7">
        <v>25782</v>
      </c>
      <c r="F7">
        <v>179.53</v>
      </c>
    </row>
    <row r="8" spans="2:6" x14ac:dyDescent="0.3">
      <c r="B8" s="5">
        <v>43470</v>
      </c>
      <c r="C8" t="s">
        <v>16</v>
      </c>
      <c r="D8" t="s">
        <v>17</v>
      </c>
      <c r="E8">
        <v>56718</v>
      </c>
      <c r="F8">
        <v>187.21</v>
      </c>
    </row>
    <row r="9" spans="2:6" x14ac:dyDescent="0.3">
      <c r="B9" s="5">
        <v>43471</v>
      </c>
      <c r="C9" t="s">
        <v>18</v>
      </c>
      <c r="D9" t="s">
        <v>19</v>
      </c>
      <c r="E9">
        <v>13278</v>
      </c>
      <c r="F9">
        <v>396.98</v>
      </c>
    </row>
    <row r="10" spans="2:6" x14ac:dyDescent="0.3">
      <c r="B10" s="5">
        <v>43472</v>
      </c>
      <c r="C10" t="s">
        <v>20</v>
      </c>
      <c r="D10" t="s">
        <v>21</v>
      </c>
      <c r="E10">
        <v>28659</v>
      </c>
      <c r="F10">
        <v>190.67</v>
      </c>
    </row>
    <row r="11" spans="2:6" x14ac:dyDescent="0.3">
      <c r="B11" s="5">
        <v>43473</v>
      </c>
      <c r="C11" t="s">
        <v>18</v>
      </c>
      <c r="D11" t="s">
        <v>19</v>
      </c>
      <c r="E11">
        <v>13278</v>
      </c>
      <c r="F11">
        <v>115.57</v>
      </c>
    </row>
    <row r="12" spans="2:6" x14ac:dyDescent="0.3">
      <c r="B12" s="5">
        <v>43474</v>
      </c>
      <c r="C12" t="s">
        <v>18</v>
      </c>
      <c r="D12" t="s">
        <v>21</v>
      </c>
      <c r="E12">
        <v>28659</v>
      </c>
      <c r="F12">
        <v>110.98</v>
      </c>
    </row>
    <row r="13" spans="2:6" x14ac:dyDescent="0.3">
      <c r="B13" s="5">
        <v>43476</v>
      </c>
      <c r="C13" t="s">
        <v>22</v>
      </c>
      <c r="D13" t="s">
        <v>23</v>
      </c>
      <c r="E13">
        <v>38311</v>
      </c>
      <c r="F13">
        <v>383.99</v>
      </c>
    </row>
    <row r="14" spans="2:6" x14ac:dyDescent="0.3">
      <c r="B14" s="5">
        <v>43477</v>
      </c>
      <c r="C14" t="s">
        <v>18</v>
      </c>
      <c r="D14" t="s">
        <v>24</v>
      </c>
      <c r="E14">
        <v>98755</v>
      </c>
      <c r="F14">
        <v>395.66</v>
      </c>
    </row>
    <row r="15" spans="2:6" x14ac:dyDescent="0.3">
      <c r="B15" s="5">
        <v>43481</v>
      </c>
      <c r="C15" t="s">
        <v>25</v>
      </c>
      <c r="D15" t="s">
        <v>26</v>
      </c>
      <c r="E15">
        <v>43820</v>
      </c>
      <c r="F15">
        <v>226.02</v>
      </c>
    </row>
    <row r="16" spans="2:6" x14ac:dyDescent="0.3">
      <c r="B16" s="5">
        <v>43484</v>
      </c>
      <c r="C16" t="s">
        <v>27</v>
      </c>
      <c r="D16" t="s">
        <v>28</v>
      </c>
      <c r="E16">
        <v>48477</v>
      </c>
      <c r="F16">
        <v>156.85</v>
      </c>
    </row>
    <row r="17" spans="2:6" x14ac:dyDescent="0.3">
      <c r="B17" s="5">
        <v>43492</v>
      </c>
      <c r="C17" t="s">
        <v>27</v>
      </c>
      <c r="D17" t="s">
        <v>13</v>
      </c>
      <c r="E17">
        <v>18831</v>
      </c>
      <c r="F17">
        <v>266.56</v>
      </c>
    </row>
    <row r="18" spans="2:6" x14ac:dyDescent="0.3">
      <c r="B18" s="5">
        <v>43492</v>
      </c>
      <c r="C18" t="s">
        <v>12</v>
      </c>
      <c r="D18" t="s">
        <v>29</v>
      </c>
      <c r="E18">
        <v>100692</v>
      </c>
      <c r="F18">
        <v>142.02000000000001</v>
      </c>
    </row>
    <row r="19" spans="2:6" x14ac:dyDescent="0.3">
      <c r="B19" s="5">
        <v>43493</v>
      </c>
      <c r="C19" t="s">
        <v>27</v>
      </c>
      <c r="D19" t="s">
        <v>30</v>
      </c>
      <c r="E19">
        <v>29965</v>
      </c>
      <c r="F19">
        <v>251.16</v>
      </c>
    </row>
    <row r="20" spans="2:6" x14ac:dyDescent="0.3">
      <c r="B20" s="5">
        <v>43495</v>
      </c>
      <c r="C20" t="s">
        <v>25</v>
      </c>
      <c r="D20" t="s">
        <v>31</v>
      </c>
      <c r="E20">
        <v>20913</v>
      </c>
      <c r="F20">
        <v>297.67</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897488-A99A-4DF2-92EC-D74564CA5EF8}">
  <sheetPr codeName="Sheet6">
    <tabColor rgb="FF0000FF"/>
  </sheetPr>
  <dimension ref="B2:F25"/>
  <sheetViews>
    <sheetView workbookViewId="0">
      <selection activeCell="B5" sqref="B5"/>
    </sheetView>
  </sheetViews>
  <sheetFormatPr defaultRowHeight="14.4" x14ac:dyDescent="0.3"/>
  <cols>
    <col min="2" max="2" width="13.5546875" bestFit="1" customWidth="1"/>
    <col min="3" max="3" width="41.109375" bestFit="1" customWidth="1"/>
    <col min="4" max="4" width="22.88671875" bestFit="1" customWidth="1"/>
    <col min="5" max="5" width="17.33203125" customWidth="1"/>
    <col min="6" max="6" width="10.33203125" customWidth="1"/>
  </cols>
  <sheetData>
    <row r="2" spans="2:6" x14ac:dyDescent="0.3">
      <c r="B2" t="s">
        <v>32</v>
      </c>
      <c r="C2" t="str">
        <f>"Ex"&amp;TEXT(B6,"yyyymmm")</f>
        <v>Ex2019Feb</v>
      </c>
    </row>
    <row r="3" spans="2:6" x14ac:dyDescent="0.3">
      <c r="B3" t="s">
        <v>33</v>
      </c>
      <c r="C3" s="7" t="str" cm="1">
        <f t="array" aca="1" ref="C3" ca="1">REPLACE(CELL("filename",A1),1,SEARCH("]",CELL("filename",A1)),"")</f>
        <v>19(2)</v>
      </c>
    </row>
    <row r="5" spans="2:6" x14ac:dyDescent="0.3">
      <c r="B5" s="6" t="s">
        <v>7</v>
      </c>
      <c r="C5" s="6" t="s">
        <v>8</v>
      </c>
      <c r="D5" s="6" t="s">
        <v>9</v>
      </c>
      <c r="E5" s="6" t="s">
        <v>10</v>
      </c>
      <c r="F5" s="6" t="s">
        <v>11</v>
      </c>
    </row>
    <row r="6" spans="2:6" x14ac:dyDescent="0.3">
      <c r="B6" s="5">
        <v>43497</v>
      </c>
      <c r="C6" t="s">
        <v>34</v>
      </c>
      <c r="D6" t="s">
        <v>21</v>
      </c>
      <c r="E6">
        <v>30678</v>
      </c>
      <c r="F6">
        <v>416.67</v>
      </c>
    </row>
    <row r="7" spans="2:6" x14ac:dyDescent="0.3">
      <c r="B7" s="5">
        <v>43497</v>
      </c>
      <c r="C7" t="s">
        <v>35</v>
      </c>
      <c r="D7" t="s">
        <v>36</v>
      </c>
      <c r="E7">
        <v>20027</v>
      </c>
      <c r="F7">
        <v>497.38</v>
      </c>
    </row>
    <row r="8" spans="2:6" x14ac:dyDescent="0.3">
      <c r="B8" s="5">
        <v>43498</v>
      </c>
      <c r="C8" t="s">
        <v>34</v>
      </c>
      <c r="D8" t="s">
        <v>37</v>
      </c>
      <c r="E8">
        <v>102076</v>
      </c>
      <c r="F8">
        <v>281.26</v>
      </c>
    </row>
    <row r="9" spans="2:6" x14ac:dyDescent="0.3">
      <c r="B9" s="5">
        <v>43499</v>
      </c>
      <c r="C9" t="s">
        <v>38</v>
      </c>
      <c r="D9" t="s">
        <v>39</v>
      </c>
      <c r="E9">
        <v>74612</v>
      </c>
      <c r="F9">
        <v>508.63</v>
      </c>
    </row>
    <row r="10" spans="2:6" x14ac:dyDescent="0.3">
      <c r="B10" s="5">
        <v>43501</v>
      </c>
      <c r="C10" t="s">
        <v>40</v>
      </c>
      <c r="D10" t="s">
        <v>23</v>
      </c>
      <c r="E10">
        <v>40330</v>
      </c>
      <c r="F10">
        <v>584.13</v>
      </c>
    </row>
    <row r="11" spans="2:6" x14ac:dyDescent="0.3">
      <c r="B11" s="5">
        <v>43502</v>
      </c>
      <c r="C11" t="s">
        <v>38</v>
      </c>
      <c r="D11" t="s">
        <v>41</v>
      </c>
      <c r="E11">
        <v>65613</v>
      </c>
      <c r="F11">
        <v>559.17999999999995</v>
      </c>
    </row>
    <row r="12" spans="2:6" x14ac:dyDescent="0.3">
      <c r="B12" s="5">
        <v>43502</v>
      </c>
      <c r="C12" t="s">
        <v>42</v>
      </c>
      <c r="D12" t="s">
        <v>41</v>
      </c>
      <c r="E12">
        <v>65613</v>
      </c>
      <c r="F12">
        <v>563.36</v>
      </c>
    </row>
    <row r="13" spans="2:6" x14ac:dyDescent="0.3">
      <c r="B13" s="5">
        <v>43504</v>
      </c>
      <c r="C13" t="s">
        <v>42</v>
      </c>
      <c r="D13" t="s">
        <v>43</v>
      </c>
      <c r="E13">
        <v>102015</v>
      </c>
      <c r="F13">
        <v>560.51</v>
      </c>
    </row>
    <row r="14" spans="2:6" x14ac:dyDescent="0.3">
      <c r="B14" s="5">
        <v>43507</v>
      </c>
      <c r="C14" t="s">
        <v>44</v>
      </c>
      <c r="D14" t="s">
        <v>23</v>
      </c>
      <c r="E14">
        <v>40330</v>
      </c>
      <c r="F14">
        <v>520.92999999999995</v>
      </c>
    </row>
    <row r="15" spans="2:6" x14ac:dyDescent="0.3">
      <c r="B15" s="5">
        <v>43507</v>
      </c>
      <c r="C15" t="s">
        <v>40</v>
      </c>
      <c r="D15" t="s">
        <v>43</v>
      </c>
      <c r="E15">
        <v>102015</v>
      </c>
      <c r="F15">
        <v>598.16</v>
      </c>
    </row>
    <row r="16" spans="2:6" x14ac:dyDescent="0.3">
      <c r="B16" s="5">
        <v>43509</v>
      </c>
      <c r="C16" t="s">
        <v>34</v>
      </c>
      <c r="D16" t="s">
        <v>45</v>
      </c>
      <c r="E16">
        <v>77400</v>
      </c>
      <c r="F16">
        <v>375.5</v>
      </c>
    </row>
    <row r="17" spans="2:6" x14ac:dyDescent="0.3">
      <c r="B17" s="5">
        <v>43510</v>
      </c>
      <c r="C17" t="s">
        <v>35</v>
      </c>
      <c r="D17" t="s">
        <v>30</v>
      </c>
      <c r="E17">
        <v>31984</v>
      </c>
      <c r="F17">
        <v>345.36</v>
      </c>
    </row>
    <row r="18" spans="2:6" x14ac:dyDescent="0.3">
      <c r="B18" s="5">
        <v>43512</v>
      </c>
      <c r="C18" t="s">
        <v>34</v>
      </c>
      <c r="D18" t="s">
        <v>46</v>
      </c>
      <c r="E18">
        <v>32617</v>
      </c>
      <c r="F18">
        <v>325.7</v>
      </c>
    </row>
    <row r="19" spans="2:6" x14ac:dyDescent="0.3">
      <c r="B19" s="5">
        <v>43512</v>
      </c>
      <c r="C19" t="s">
        <v>42</v>
      </c>
      <c r="D19" t="s">
        <v>47</v>
      </c>
      <c r="E19">
        <v>21684</v>
      </c>
      <c r="F19">
        <v>484.44</v>
      </c>
    </row>
    <row r="20" spans="2:6" x14ac:dyDescent="0.3">
      <c r="B20" s="5">
        <v>43513</v>
      </c>
      <c r="C20" t="s">
        <v>35</v>
      </c>
      <c r="D20" t="s">
        <v>48</v>
      </c>
      <c r="E20">
        <v>29073</v>
      </c>
      <c r="F20">
        <v>436.08</v>
      </c>
    </row>
    <row r="21" spans="2:6" x14ac:dyDescent="0.3">
      <c r="B21" s="5">
        <v>43514</v>
      </c>
      <c r="C21" t="s">
        <v>35</v>
      </c>
      <c r="D21" t="s">
        <v>49</v>
      </c>
      <c r="E21">
        <v>21826</v>
      </c>
      <c r="F21">
        <v>552.19000000000005</v>
      </c>
    </row>
    <row r="22" spans="2:6" x14ac:dyDescent="0.3">
      <c r="B22" s="5">
        <v>43515</v>
      </c>
      <c r="C22" t="s">
        <v>50</v>
      </c>
      <c r="D22" t="s">
        <v>45</v>
      </c>
      <c r="E22">
        <v>77400</v>
      </c>
      <c r="F22">
        <v>327.02999999999997</v>
      </c>
    </row>
    <row r="23" spans="2:6" x14ac:dyDescent="0.3">
      <c r="B23" s="5">
        <v>43516</v>
      </c>
      <c r="C23" t="s">
        <v>42</v>
      </c>
      <c r="D23" t="s">
        <v>28</v>
      </c>
      <c r="E23">
        <v>50496</v>
      </c>
      <c r="F23">
        <v>420.62</v>
      </c>
    </row>
    <row r="24" spans="2:6" x14ac:dyDescent="0.3">
      <c r="B24" s="5">
        <v>43519</v>
      </c>
      <c r="C24" t="s">
        <v>35</v>
      </c>
      <c r="D24" t="s">
        <v>45</v>
      </c>
      <c r="E24">
        <v>77400</v>
      </c>
      <c r="F24">
        <v>334.87</v>
      </c>
    </row>
    <row r="25" spans="2:6" x14ac:dyDescent="0.3">
      <c r="B25" s="5">
        <v>43520</v>
      </c>
      <c r="C25" t="s">
        <v>34</v>
      </c>
      <c r="D25" t="s">
        <v>51</v>
      </c>
      <c r="E25">
        <v>66802</v>
      </c>
      <c r="F25">
        <v>478.96</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A4D84-8FB6-4DDE-AD29-8F9C68A66FD4}">
  <sheetPr codeName="Sheet7">
    <tabColor rgb="FF0000FF"/>
  </sheetPr>
  <dimension ref="B2:F22"/>
  <sheetViews>
    <sheetView workbookViewId="0">
      <selection activeCell="B5" sqref="B5"/>
    </sheetView>
  </sheetViews>
  <sheetFormatPr defaultRowHeight="14.4" x14ac:dyDescent="0.3"/>
  <cols>
    <col min="2" max="2" width="13.5546875" bestFit="1" customWidth="1"/>
    <col min="3" max="3" width="34.109375" customWidth="1"/>
    <col min="4" max="4" width="22.88671875" bestFit="1" customWidth="1"/>
    <col min="5" max="5" width="17.33203125" customWidth="1"/>
    <col min="6" max="6" width="10.33203125" customWidth="1"/>
  </cols>
  <sheetData>
    <row r="2" spans="2:6" x14ac:dyDescent="0.3">
      <c r="B2" t="s">
        <v>32</v>
      </c>
      <c r="C2" t="str">
        <f>"Ex"&amp;TEXT(B6,"yyyymmm")</f>
        <v>Ex2019Mar</v>
      </c>
    </row>
    <row r="3" spans="2:6" x14ac:dyDescent="0.3">
      <c r="B3" t="s">
        <v>33</v>
      </c>
      <c r="C3" s="7" t="str" cm="1">
        <f t="array" aca="1" ref="C3" ca="1">REPLACE(CELL("filename",A1),1,SEARCH("]",CELL("filename",A1)),"")</f>
        <v>19(3)</v>
      </c>
    </row>
    <row r="5" spans="2:6" x14ac:dyDescent="0.3">
      <c r="B5" s="6" t="s">
        <v>7</v>
      </c>
      <c r="C5" s="6" t="s">
        <v>8</v>
      </c>
      <c r="D5" s="6" t="s">
        <v>9</v>
      </c>
      <c r="E5" s="6" t="s">
        <v>10</v>
      </c>
      <c r="F5" s="6" t="s">
        <v>11</v>
      </c>
    </row>
    <row r="6" spans="2:6" x14ac:dyDescent="0.3">
      <c r="B6" s="5">
        <v>43526</v>
      </c>
      <c r="C6" t="s">
        <v>54</v>
      </c>
      <c r="D6" t="s">
        <v>37</v>
      </c>
      <c r="E6">
        <v>104095</v>
      </c>
      <c r="F6">
        <v>123.67</v>
      </c>
    </row>
    <row r="7" spans="2:6" x14ac:dyDescent="0.3">
      <c r="B7" s="5">
        <v>43526</v>
      </c>
      <c r="C7" t="s">
        <v>54</v>
      </c>
      <c r="D7" t="s">
        <v>21</v>
      </c>
      <c r="E7">
        <v>32697</v>
      </c>
      <c r="F7">
        <v>48.58</v>
      </c>
    </row>
    <row r="8" spans="2:6" x14ac:dyDescent="0.3">
      <c r="B8" s="5">
        <v>43528</v>
      </c>
      <c r="C8" t="s">
        <v>54</v>
      </c>
      <c r="D8" t="s">
        <v>28</v>
      </c>
      <c r="E8">
        <v>52515</v>
      </c>
      <c r="F8">
        <v>87.63</v>
      </c>
    </row>
    <row r="9" spans="2:6" x14ac:dyDescent="0.3">
      <c r="B9" s="5">
        <v>43529</v>
      </c>
      <c r="C9" t="s">
        <v>55</v>
      </c>
      <c r="D9" t="s">
        <v>56</v>
      </c>
      <c r="E9">
        <v>72112</v>
      </c>
      <c r="F9">
        <v>123.62</v>
      </c>
    </row>
    <row r="10" spans="2:6" x14ac:dyDescent="0.3">
      <c r="B10" s="5">
        <v>43530</v>
      </c>
      <c r="C10" t="s">
        <v>55</v>
      </c>
      <c r="D10" t="s">
        <v>41</v>
      </c>
      <c r="E10">
        <v>67632</v>
      </c>
      <c r="F10">
        <v>80.66</v>
      </c>
    </row>
    <row r="11" spans="2:6" x14ac:dyDescent="0.3">
      <c r="B11" s="5">
        <v>43531</v>
      </c>
      <c r="C11" t="s">
        <v>54</v>
      </c>
      <c r="D11" t="s">
        <v>21</v>
      </c>
      <c r="E11">
        <v>32697</v>
      </c>
      <c r="F11">
        <v>31.54</v>
      </c>
    </row>
    <row r="12" spans="2:6" x14ac:dyDescent="0.3">
      <c r="B12" s="5">
        <v>43533</v>
      </c>
      <c r="C12" t="s">
        <v>57</v>
      </c>
      <c r="D12" t="s">
        <v>45</v>
      </c>
      <c r="E12">
        <v>79419</v>
      </c>
      <c r="F12">
        <v>107.39</v>
      </c>
    </row>
    <row r="13" spans="2:6" x14ac:dyDescent="0.3">
      <c r="B13" s="5">
        <v>43536</v>
      </c>
      <c r="C13" t="s">
        <v>58</v>
      </c>
      <c r="D13" t="s">
        <v>24</v>
      </c>
      <c r="E13">
        <v>102793</v>
      </c>
      <c r="F13">
        <v>96.32</v>
      </c>
    </row>
    <row r="14" spans="2:6" x14ac:dyDescent="0.3">
      <c r="B14" s="5">
        <v>43544</v>
      </c>
      <c r="C14" t="s">
        <v>59</v>
      </c>
      <c r="D14" t="s">
        <v>46</v>
      </c>
      <c r="E14">
        <v>34636</v>
      </c>
      <c r="F14">
        <v>50.65</v>
      </c>
    </row>
    <row r="15" spans="2:6" x14ac:dyDescent="0.3">
      <c r="B15" s="5">
        <v>43545</v>
      </c>
      <c r="C15" t="s">
        <v>59</v>
      </c>
      <c r="D15" t="s">
        <v>60</v>
      </c>
      <c r="E15">
        <v>102691</v>
      </c>
      <c r="F15">
        <v>109.08</v>
      </c>
    </row>
    <row r="16" spans="2:6" x14ac:dyDescent="0.3">
      <c r="B16" s="5">
        <v>43545</v>
      </c>
      <c r="C16" t="s">
        <v>54</v>
      </c>
      <c r="D16" t="s">
        <v>39</v>
      </c>
      <c r="E16">
        <v>76631</v>
      </c>
      <c r="F16">
        <v>42.32</v>
      </c>
    </row>
    <row r="17" spans="2:6" x14ac:dyDescent="0.3">
      <c r="B17" s="5">
        <v>43546</v>
      </c>
      <c r="C17" t="s">
        <v>57</v>
      </c>
      <c r="D17" t="s">
        <v>49</v>
      </c>
      <c r="E17">
        <v>23845</v>
      </c>
      <c r="F17">
        <v>31.53</v>
      </c>
    </row>
    <row r="18" spans="2:6" x14ac:dyDescent="0.3">
      <c r="B18" s="5">
        <v>43546</v>
      </c>
      <c r="C18" t="s">
        <v>61</v>
      </c>
      <c r="D18" t="s">
        <v>62</v>
      </c>
      <c r="E18">
        <v>94545</v>
      </c>
      <c r="F18">
        <v>31.21</v>
      </c>
    </row>
    <row r="19" spans="2:6" x14ac:dyDescent="0.3">
      <c r="B19" s="5">
        <v>43548</v>
      </c>
      <c r="C19" t="s">
        <v>55</v>
      </c>
      <c r="D19" t="s">
        <v>62</v>
      </c>
      <c r="E19">
        <v>94545</v>
      </c>
      <c r="F19">
        <v>44.89</v>
      </c>
    </row>
    <row r="20" spans="2:6" x14ac:dyDescent="0.3">
      <c r="B20" s="5">
        <v>43550</v>
      </c>
      <c r="C20" t="s">
        <v>58</v>
      </c>
      <c r="D20" t="s">
        <v>62</v>
      </c>
      <c r="E20">
        <v>94545</v>
      </c>
      <c r="F20">
        <v>115.55</v>
      </c>
    </row>
    <row r="21" spans="2:6" x14ac:dyDescent="0.3">
      <c r="B21" s="5">
        <v>43554</v>
      </c>
      <c r="C21" t="s">
        <v>54</v>
      </c>
      <c r="D21" t="s">
        <v>28</v>
      </c>
      <c r="E21">
        <v>52515</v>
      </c>
      <c r="F21">
        <v>29.05</v>
      </c>
    </row>
    <row r="22" spans="2:6" x14ac:dyDescent="0.3">
      <c r="B22" s="5">
        <v>43554</v>
      </c>
      <c r="C22" t="s">
        <v>61</v>
      </c>
      <c r="D22" t="s">
        <v>24</v>
      </c>
      <c r="E22">
        <v>102793</v>
      </c>
      <c r="F22">
        <v>120.28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55833-CF25-4A26-AF7F-5A3AA6D994D9}">
  <sheetPr codeName="Sheet8">
    <tabColor rgb="FF0000FF"/>
  </sheetPr>
  <dimension ref="B2:F35"/>
  <sheetViews>
    <sheetView workbookViewId="0">
      <selection activeCell="B5" sqref="B5"/>
    </sheetView>
  </sheetViews>
  <sheetFormatPr defaultRowHeight="14.4" x14ac:dyDescent="0.3"/>
  <cols>
    <col min="2" max="2" width="13.5546875" bestFit="1" customWidth="1"/>
    <col min="3" max="3" width="41.109375" bestFit="1" customWidth="1"/>
    <col min="4" max="4" width="21.109375" bestFit="1" customWidth="1"/>
    <col min="5" max="5" width="17.33203125" customWidth="1"/>
    <col min="6" max="6" width="10.33203125" customWidth="1"/>
  </cols>
  <sheetData>
    <row r="2" spans="2:6" x14ac:dyDescent="0.3">
      <c r="B2" t="s">
        <v>32</v>
      </c>
      <c r="C2" t="str">
        <f>"Ex"&amp;TEXT(B6,"yyyymmm")</f>
        <v>Ex2019Apr</v>
      </c>
    </row>
    <row r="3" spans="2:6" x14ac:dyDescent="0.3">
      <c r="B3" t="s">
        <v>33</v>
      </c>
      <c r="C3" s="7" t="str" cm="1">
        <f t="array" aca="1" ref="C3" ca="1">REPLACE(CELL("filename",A1),1,SEARCH("]",CELL("filename",A1)),"")</f>
        <v>19(4)</v>
      </c>
    </row>
    <row r="5" spans="2:6" x14ac:dyDescent="0.3">
      <c r="B5" s="6" t="s">
        <v>7</v>
      </c>
      <c r="C5" s="6" t="s">
        <v>8</v>
      </c>
      <c r="D5" s="6" t="s">
        <v>9</v>
      </c>
      <c r="E5" s="6" t="s">
        <v>10</v>
      </c>
      <c r="F5" s="6" t="s">
        <v>11</v>
      </c>
    </row>
    <row r="6" spans="2:6" x14ac:dyDescent="0.3">
      <c r="B6" s="5">
        <v>43557</v>
      </c>
      <c r="C6" t="s">
        <v>34</v>
      </c>
      <c r="D6" t="s">
        <v>19</v>
      </c>
      <c r="E6">
        <v>19335</v>
      </c>
      <c r="F6">
        <v>328.77</v>
      </c>
    </row>
    <row r="7" spans="2:6" x14ac:dyDescent="0.3">
      <c r="B7" s="5">
        <v>43557</v>
      </c>
      <c r="C7" t="s">
        <v>38</v>
      </c>
      <c r="D7" t="s">
        <v>23</v>
      </c>
      <c r="E7">
        <v>44368</v>
      </c>
      <c r="F7">
        <v>306.26</v>
      </c>
    </row>
    <row r="8" spans="2:6" x14ac:dyDescent="0.3">
      <c r="B8" s="5">
        <v>43557</v>
      </c>
      <c r="C8" t="s">
        <v>35</v>
      </c>
      <c r="D8" t="s">
        <v>63</v>
      </c>
      <c r="E8">
        <v>94111</v>
      </c>
      <c r="F8">
        <v>395.35</v>
      </c>
    </row>
    <row r="9" spans="2:6" x14ac:dyDescent="0.3">
      <c r="B9" s="5">
        <v>43560</v>
      </c>
      <c r="C9" t="s">
        <v>34</v>
      </c>
      <c r="D9" t="s">
        <v>21</v>
      </c>
      <c r="E9">
        <v>34716</v>
      </c>
      <c r="F9">
        <v>381.95</v>
      </c>
    </row>
    <row r="10" spans="2:6" x14ac:dyDescent="0.3">
      <c r="B10" s="5">
        <v>43560</v>
      </c>
      <c r="C10" t="s">
        <v>42</v>
      </c>
      <c r="D10" t="s">
        <v>53</v>
      </c>
      <c r="E10">
        <v>91760</v>
      </c>
      <c r="F10">
        <v>472.57</v>
      </c>
    </row>
    <row r="11" spans="2:6" x14ac:dyDescent="0.3">
      <c r="B11" s="5">
        <v>43561</v>
      </c>
      <c r="C11" t="s">
        <v>34</v>
      </c>
      <c r="D11" t="s">
        <v>48</v>
      </c>
      <c r="E11">
        <v>33111</v>
      </c>
      <c r="F11">
        <v>561.24</v>
      </c>
    </row>
    <row r="12" spans="2:6" x14ac:dyDescent="0.3">
      <c r="B12" s="5">
        <v>43561</v>
      </c>
      <c r="C12" t="s">
        <v>35</v>
      </c>
      <c r="D12" t="s">
        <v>48</v>
      </c>
      <c r="E12">
        <v>33111</v>
      </c>
      <c r="F12">
        <v>361.42</v>
      </c>
    </row>
    <row r="13" spans="2:6" x14ac:dyDescent="0.3">
      <c r="B13" s="5">
        <v>43562</v>
      </c>
      <c r="C13" t="s">
        <v>44</v>
      </c>
      <c r="D13" t="s">
        <v>51</v>
      </c>
      <c r="E13">
        <v>70840</v>
      </c>
      <c r="F13">
        <v>351.65</v>
      </c>
    </row>
    <row r="14" spans="2:6" x14ac:dyDescent="0.3">
      <c r="B14" s="5">
        <v>43563</v>
      </c>
      <c r="C14" t="s">
        <v>38</v>
      </c>
      <c r="D14" t="s">
        <v>37</v>
      </c>
      <c r="E14">
        <v>106114</v>
      </c>
      <c r="F14">
        <v>571.77</v>
      </c>
    </row>
    <row r="15" spans="2:6" x14ac:dyDescent="0.3">
      <c r="B15" s="5">
        <v>43563</v>
      </c>
      <c r="C15" t="s">
        <v>34</v>
      </c>
      <c r="D15" t="s">
        <v>60</v>
      </c>
      <c r="E15">
        <v>104710</v>
      </c>
      <c r="F15">
        <v>379.69</v>
      </c>
    </row>
    <row r="16" spans="2:6" x14ac:dyDescent="0.3">
      <c r="B16" s="5">
        <v>43564</v>
      </c>
      <c r="C16" t="s">
        <v>42</v>
      </c>
      <c r="D16" t="s">
        <v>17</v>
      </c>
      <c r="E16">
        <v>62775</v>
      </c>
      <c r="F16">
        <v>287.25</v>
      </c>
    </row>
    <row r="17" spans="2:6" x14ac:dyDescent="0.3">
      <c r="B17" s="5">
        <v>43565</v>
      </c>
      <c r="C17" t="s">
        <v>34</v>
      </c>
      <c r="D17" t="s">
        <v>64</v>
      </c>
      <c r="E17">
        <v>11642</v>
      </c>
      <c r="F17">
        <v>333.8</v>
      </c>
    </row>
    <row r="18" spans="2:6" x14ac:dyDescent="0.3">
      <c r="B18" s="5">
        <v>43567</v>
      </c>
      <c r="C18" t="s">
        <v>35</v>
      </c>
      <c r="D18" t="s">
        <v>60</v>
      </c>
      <c r="E18">
        <v>104710</v>
      </c>
      <c r="F18">
        <v>491.56</v>
      </c>
    </row>
    <row r="19" spans="2:6" x14ac:dyDescent="0.3">
      <c r="B19" s="5">
        <v>43569</v>
      </c>
      <c r="C19" t="s">
        <v>52</v>
      </c>
      <c r="D19" t="s">
        <v>63</v>
      </c>
      <c r="E19">
        <v>94111</v>
      </c>
      <c r="F19">
        <v>467.33</v>
      </c>
    </row>
    <row r="20" spans="2:6" x14ac:dyDescent="0.3">
      <c r="B20" s="5">
        <v>43571</v>
      </c>
      <c r="C20" t="s">
        <v>40</v>
      </c>
      <c r="D20" t="s">
        <v>15</v>
      </c>
      <c r="E20">
        <v>31839</v>
      </c>
      <c r="F20">
        <v>491.68</v>
      </c>
    </row>
    <row r="21" spans="2:6" x14ac:dyDescent="0.3">
      <c r="B21" s="5">
        <v>43573</v>
      </c>
      <c r="C21" t="s">
        <v>34</v>
      </c>
      <c r="D21" t="s">
        <v>65</v>
      </c>
      <c r="E21">
        <v>8459</v>
      </c>
      <c r="F21">
        <v>589.15</v>
      </c>
    </row>
    <row r="22" spans="2:6" x14ac:dyDescent="0.3">
      <c r="B22" s="5">
        <v>43574</v>
      </c>
      <c r="C22" t="s">
        <v>35</v>
      </c>
      <c r="D22" t="s">
        <v>47</v>
      </c>
      <c r="E22">
        <v>25722</v>
      </c>
      <c r="F22">
        <v>566.11</v>
      </c>
    </row>
    <row r="23" spans="2:6" x14ac:dyDescent="0.3">
      <c r="B23" s="5">
        <v>43575</v>
      </c>
      <c r="C23" t="s">
        <v>40</v>
      </c>
      <c r="D23" t="s">
        <v>45</v>
      </c>
      <c r="E23">
        <v>81438</v>
      </c>
      <c r="F23">
        <v>590.13</v>
      </c>
    </row>
    <row r="24" spans="2:6" x14ac:dyDescent="0.3">
      <c r="B24" s="5">
        <v>43575</v>
      </c>
      <c r="C24" t="s">
        <v>42</v>
      </c>
      <c r="D24" t="s">
        <v>30</v>
      </c>
      <c r="E24">
        <v>36022</v>
      </c>
      <c r="F24">
        <v>498.65</v>
      </c>
    </row>
    <row r="25" spans="2:6" x14ac:dyDescent="0.3">
      <c r="B25" s="5">
        <v>43576</v>
      </c>
      <c r="C25" t="s">
        <v>42</v>
      </c>
      <c r="D25" t="s">
        <v>41</v>
      </c>
      <c r="E25">
        <v>69651</v>
      </c>
      <c r="F25">
        <v>506.8</v>
      </c>
    </row>
    <row r="26" spans="2:6" x14ac:dyDescent="0.3">
      <c r="B26" s="5">
        <v>43576</v>
      </c>
      <c r="C26" t="s">
        <v>42</v>
      </c>
      <c r="D26" t="s">
        <v>46</v>
      </c>
      <c r="E26">
        <v>36655</v>
      </c>
      <c r="F26">
        <v>428.5</v>
      </c>
    </row>
    <row r="27" spans="2:6" x14ac:dyDescent="0.3">
      <c r="B27" s="5">
        <v>43578</v>
      </c>
      <c r="C27" t="s">
        <v>52</v>
      </c>
      <c r="D27" t="s">
        <v>63</v>
      </c>
      <c r="E27">
        <v>94111</v>
      </c>
      <c r="F27">
        <v>582.57000000000005</v>
      </c>
    </row>
    <row r="28" spans="2:6" x14ac:dyDescent="0.3">
      <c r="B28" s="5">
        <v>43579</v>
      </c>
      <c r="C28" t="s">
        <v>44</v>
      </c>
      <c r="D28" t="s">
        <v>30</v>
      </c>
      <c r="E28">
        <v>36022</v>
      </c>
      <c r="F28">
        <v>369.27</v>
      </c>
    </row>
    <row r="29" spans="2:6" x14ac:dyDescent="0.3">
      <c r="B29" s="5">
        <v>43581</v>
      </c>
      <c r="C29" t="s">
        <v>35</v>
      </c>
      <c r="D29" t="s">
        <v>63</v>
      </c>
      <c r="E29">
        <v>94111</v>
      </c>
      <c r="F29">
        <v>496.14</v>
      </c>
    </row>
    <row r="30" spans="2:6" x14ac:dyDescent="0.3">
      <c r="B30" s="5">
        <v>43583</v>
      </c>
      <c r="C30" t="s">
        <v>42</v>
      </c>
      <c r="D30" t="s">
        <v>63</v>
      </c>
      <c r="E30">
        <v>94111</v>
      </c>
      <c r="F30">
        <v>591.48</v>
      </c>
    </row>
    <row r="31" spans="2:6" x14ac:dyDescent="0.3">
      <c r="B31" s="5">
        <v>43583</v>
      </c>
      <c r="C31" t="s">
        <v>52</v>
      </c>
      <c r="D31" t="s">
        <v>65</v>
      </c>
      <c r="E31">
        <v>8459</v>
      </c>
      <c r="F31">
        <v>452.58</v>
      </c>
    </row>
    <row r="32" spans="2:6" x14ac:dyDescent="0.3">
      <c r="B32" s="5">
        <v>43584</v>
      </c>
      <c r="C32" t="s">
        <v>34</v>
      </c>
      <c r="D32" t="s">
        <v>24</v>
      </c>
      <c r="E32">
        <v>104812</v>
      </c>
      <c r="F32">
        <v>505.68</v>
      </c>
    </row>
    <row r="33" spans="2:6" x14ac:dyDescent="0.3">
      <c r="B33" s="5">
        <v>43584</v>
      </c>
      <c r="C33" t="s">
        <v>40</v>
      </c>
      <c r="D33" t="s">
        <v>45</v>
      </c>
      <c r="E33">
        <v>81438</v>
      </c>
      <c r="F33">
        <v>443.57</v>
      </c>
    </row>
    <row r="34" spans="2:6" x14ac:dyDescent="0.3">
      <c r="B34" s="5">
        <v>43584</v>
      </c>
      <c r="C34" t="s">
        <v>35</v>
      </c>
      <c r="D34" t="s">
        <v>47</v>
      </c>
      <c r="E34">
        <v>25722</v>
      </c>
      <c r="F34">
        <v>283.99</v>
      </c>
    </row>
    <row r="35" spans="2:6" x14ac:dyDescent="0.3">
      <c r="B35" s="5">
        <v>43584</v>
      </c>
      <c r="C35" t="s">
        <v>34</v>
      </c>
      <c r="D35" t="s">
        <v>15</v>
      </c>
      <c r="E35">
        <v>31839</v>
      </c>
      <c r="F35">
        <v>278.02999999999997</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ED2B1-4D09-4F45-8CA8-3964DAAE51A9}">
  <sheetPr codeName="Sheet9">
    <tabColor rgb="FF0000FF"/>
  </sheetPr>
  <dimension ref="B2:F15"/>
  <sheetViews>
    <sheetView workbookViewId="0">
      <selection activeCell="B5" sqref="B5"/>
    </sheetView>
  </sheetViews>
  <sheetFormatPr defaultRowHeight="14.4" x14ac:dyDescent="0.3"/>
  <cols>
    <col min="2" max="2" width="13.5546875" bestFit="1" customWidth="1"/>
    <col min="3" max="3" width="34.109375" customWidth="1"/>
    <col min="4" max="4" width="19.5546875" bestFit="1" customWidth="1"/>
    <col min="5" max="5" width="17.33203125" customWidth="1"/>
    <col min="6" max="6" width="10.33203125" customWidth="1"/>
  </cols>
  <sheetData>
    <row r="2" spans="2:6" x14ac:dyDescent="0.3">
      <c r="B2" t="s">
        <v>32</v>
      </c>
      <c r="C2" t="str">
        <f>"Ex"&amp;TEXT(B6,"yyyymmm")</f>
        <v>Ex2019May</v>
      </c>
    </row>
    <row r="3" spans="2:6" x14ac:dyDescent="0.3">
      <c r="B3" t="s">
        <v>33</v>
      </c>
      <c r="C3" s="7" t="str" cm="1">
        <f t="array" aca="1" ref="C3" ca="1">REPLACE(CELL("filename",A1),1,SEARCH("]",CELL("filename",A1)),"")</f>
        <v>19(5)</v>
      </c>
    </row>
    <row r="5" spans="2:6" x14ac:dyDescent="0.3">
      <c r="B5" s="6" t="s">
        <v>7</v>
      </c>
      <c r="C5" s="6" t="s">
        <v>8</v>
      </c>
      <c r="D5" s="6" t="s">
        <v>9</v>
      </c>
      <c r="E5" s="6" t="s">
        <v>10</v>
      </c>
      <c r="F5" s="6" t="s">
        <v>11</v>
      </c>
    </row>
    <row r="6" spans="2:6" x14ac:dyDescent="0.3">
      <c r="B6" s="5">
        <v>43587</v>
      </c>
      <c r="C6" t="s">
        <v>34</v>
      </c>
      <c r="D6" t="s">
        <v>29</v>
      </c>
      <c r="E6">
        <v>108768</v>
      </c>
      <c r="F6">
        <v>293.11</v>
      </c>
    </row>
    <row r="7" spans="2:6" x14ac:dyDescent="0.3">
      <c r="B7" s="5">
        <v>43589</v>
      </c>
      <c r="C7" t="s">
        <v>42</v>
      </c>
      <c r="D7" t="s">
        <v>62</v>
      </c>
      <c r="E7">
        <v>98583</v>
      </c>
      <c r="F7">
        <v>320.86</v>
      </c>
    </row>
    <row r="8" spans="2:6" x14ac:dyDescent="0.3">
      <c r="B8" s="5">
        <v>43598</v>
      </c>
      <c r="C8" t="s">
        <v>40</v>
      </c>
      <c r="D8" t="s">
        <v>24</v>
      </c>
      <c r="E8">
        <v>106831</v>
      </c>
      <c r="F8">
        <v>302.24</v>
      </c>
    </row>
    <row r="9" spans="2:6" x14ac:dyDescent="0.3">
      <c r="B9" s="5">
        <v>43603</v>
      </c>
      <c r="C9" t="s">
        <v>50</v>
      </c>
      <c r="D9" t="s">
        <v>62</v>
      </c>
      <c r="E9">
        <v>98583</v>
      </c>
      <c r="F9">
        <v>502.24</v>
      </c>
    </row>
    <row r="10" spans="2:6" x14ac:dyDescent="0.3">
      <c r="B10" s="5">
        <v>43606</v>
      </c>
      <c r="C10" t="s">
        <v>35</v>
      </c>
      <c r="D10" t="s">
        <v>56</v>
      </c>
      <c r="E10">
        <v>76150</v>
      </c>
      <c r="F10">
        <v>469.2</v>
      </c>
    </row>
    <row r="11" spans="2:6" x14ac:dyDescent="0.3">
      <c r="B11" s="5">
        <v>43611</v>
      </c>
      <c r="C11" t="s">
        <v>52</v>
      </c>
      <c r="D11" t="s">
        <v>28</v>
      </c>
      <c r="E11">
        <v>56553</v>
      </c>
      <c r="F11">
        <v>351.71</v>
      </c>
    </row>
    <row r="12" spans="2:6" x14ac:dyDescent="0.3">
      <c r="B12" s="5">
        <v>43611</v>
      </c>
      <c r="C12" t="s">
        <v>34</v>
      </c>
      <c r="D12" t="s">
        <v>23</v>
      </c>
      <c r="E12">
        <v>46387</v>
      </c>
      <c r="F12">
        <v>574.88</v>
      </c>
    </row>
    <row r="13" spans="2:6" x14ac:dyDescent="0.3">
      <c r="B13" s="5">
        <v>43614</v>
      </c>
      <c r="C13" t="s">
        <v>52</v>
      </c>
      <c r="D13" t="s">
        <v>66</v>
      </c>
      <c r="E13">
        <v>70653</v>
      </c>
      <c r="F13">
        <v>561.58000000000004</v>
      </c>
    </row>
    <row r="14" spans="2:6" x14ac:dyDescent="0.3">
      <c r="B14" s="5">
        <v>43615</v>
      </c>
      <c r="C14" t="s">
        <v>52</v>
      </c>
      <c r="D14" t="s">
        <v>24</v>
      </c>
      <c r="E14">
        <v>106831</v>
      </c>
      <c r="F14">
        <v>276.25</v>
      </c>
    </row>
    <row r="15" spans="2:6" x14ac:dyDescent="0.3">
      <c r="B15" s="5">
        <v>43616</v>
      </c>
      <c r="C15" t="s">
        <v>35</v>
      </c>
      <c r="D15" t="s">
        <v>49</v>
      </c>
      <c r="E15">
        <v>27883</v>
      </c>
      <c r="F15">
        <v>279.86</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B26A5-15BF-4F1A-B114-AEBB0651B22F}">
  <sheetPr codeName="Sheet10">
    <tabColor rgb="FF0000FF"/>
  </sheetPr>
  <dimension ref="B2:F29"/>
  <sheetViews>
    <sheetView workbookViewId="0">
      <selection activeCell="B5" sqref="B5"/>
    </sheetView>
  </sheetViews>
  <sheetFormatPr defaultRowHeight="14.4" x14ac:dyDescent="0.3"/>
  <cols>
    <col min="2" max="2" width="13.5546875" bestFit="1" customWidth="1"/>
    <col min="3" max="3" width="41.109375" bestFit="1" customWidth="1"/>
    <col min="4" max="4" width="22.88671875" bestFit="1" customWidth="1"/>
    <col min="5" max="5" width="17.33203125" customWidth="1"/>
    <col min="6" max="6" width="10.33203125" customWidth="1"/>
  </cols>
  <sheetData>
    <row r="2" spans="2:6" x14ac:dyDescent="0.3">
      <c r="B2" t="s">
        <v>32</v>
      </c>
      <c r="C2" t="str">
        <f>"Ex"&amp;TEXT(B6,"yyyymmm")</f>
        <v>Ex2019Jun</v>
      </c>
    </row>
    <row r="3" spans="2:6" x14ac:dyDescent="0.3">
      <c r="B3" t="s">
        <v>33</v>
      </c>
      <c r="C3" s="7" t="str" cm="1">
        <f t="array" aca="1" ref="C3" ca="1">REPLACE(CELL("filename",A1),1,SEARCH("]",CELL("filename",A1)),"")</f>
        <v>19(6)</v>
      </c>
    </row>
    <row r="5" spans="2:6" x14ac:dyDescent="0.3">
      <c r="B5" s="6" t="s">
        <v>7</v>
      </c>
      <c r="C5" s="6" t="s">
        <v>8</v>
      </c>
      <c r="D5" s="6" t="s">
        <v>9</v>
      </c>
      <c r="E5" s="6" t="s">
        <v>10</v>
      </c>
      <c r="F5" s="6" t="s">
        <v>11</v>
      </c>
    </row>
    <row r="6" spans="2:6" x14ac:dyDescent="0.3">
      <c r="B6" s="5">
        <v>43618</v>
      </c>
      <c r="C6" t="s">
        <v>34</v>
      </c>
      <c r="D6" t="s">
        <v>21</v>
      </c>
      <c r="E6">
        <v>38754</v>
      </c>
      <c r="F6">
        <v>529.17999999999995</v>
      </c>
    </row>
    <row r="7" spans="2:6" x14ac:dyDescent="0.3">
      <c r="B7" s="5">
        <v>43619</v>
      </c>
      <c r="C7" t="s">
        <v>35</v>
      </c>
      <c r="D7" t="s">
        <v>56</v>
      </c>
      <c r="E7">
        <v>78169</v>
      </c>
      <c r="F7">
        <v>568.79</v>
      </c>
    </row>
    <row r="8" spans="2:6" x14ac:dyDescent="0.3">
      <c r="B8" s="5">
        <v>43623</v>
      </c>
      <c r="C8" t="s">
        <v>35</v>
      </c>
      <c r="D8" t="s">
        <v>37</v>
      </c>
      <c r="E8">
        <v>110152</v>
      </c>
      <c r="F8">
        <v>310.06</v>
      </c>
    </row>
    <row r="9" spans="2:6" x14ac:dyDescent="0.3">
      <c r="B9" s="5">
        <v>43625</v>
      </c>
      <c r="C9" t="s">
        <v>34</v>
      </c>
      <c r="D9" t="s">
        <v>49</v>
      </c>
      <c r="E9">
        <v>29902</v>
      </c>
      <c r="F9">
        <v>584.17999999999995</v>
      </c>
    </row>
    <row r="10" spans="2:6" x14ac:dyDescent="0.3">
      <c r="B10" s="5">
        <v>43626</v>
      </c>
      <c r="C10" t="s">
        <v>38</v>
      </c>
      <c r="D10" t="s">
        <v>64</v>
      </c>
      <c r="E10">
        <v>15680</v>
      </c>
      <c r="F10">
        <v>467.46</v>
      </c>
    </row>
    <row r="11" spans="2:6" x14ac:dyDescent="0.3">
      <c r="B11" s="5">
        <v>43628</v>
      </c>
      <c r="C11" t="s">
        <v>42</v>
      </c>
      <c r="D11" t="s">
        <v>47</v>
      </c>
      <c r="E11">
        <v>29760</v>
      </c>
      <c r="F11">
        <v>352.22</v>
      </c>
    </row>
    <row r="12" spans="2:6" x14ac:dyDescent="0.3">
      <c r="B12" s="5">
        <v>43628</v>
      </c>
      <c r="C12" t="s">
        <v>50</v>
      </c>
      <c r="D12" t="s">
        <v>41</v>
      </c>
      <c r="E12">
        <v>73689</v>
      </c>
      <c r="F12">
        <v>431.63</v>
      </c>
    </row>
    <row r="13" spans="2:6" x14ac:dyDescent="0.3">
      <c r="B13" s="5">
        <v>43631</v>
      </c>
      <c r="C13" t="s">
        <v>38</v>
      </c>
      <c r="D13" t="s">
        <v>48</v>
      </c>
      <c r="E13">
        <v>37149</v>
      </c>
      <c r="F13">
        <v>533.26</v>
      </c>
    </row>
    <row r="14" spans="2:6" x14ac:dyDescent="0.3">
      <c r="B14" s="5">
        <v>43634</v>
      </c>
      <c r="C14" t="s">
        <v>44</v>
      </c>
      <c r="D14" t="s">
        <v>30</v>
      </c>
      <c r="E14">
        <v>40060</v>
      </c>
      <c r="F14">
        <v>545.41999999999996</v>
      </c>
    </row>
    <row r="15" spans="2:6" x14ac:dyDescent="0.3">
      <c r="B15" s="5">
        <v>43634</v>
      </c>
      <c r="C15" t="s">
        <v>50</v>
      </c>
      <c r="D15" t="s">
        <v>26</v>
      </c>
      <c r="E15">
        <v>53915</v>
      </c>
      <c r="F15">
        <v>472.7</v>
      </c>
    </row>
    <row r="16" spans="2:6" x14ac:dyDescent="0.3">
      <c r="B16" s="5">
        <v>43634</v>
      </c>
      <c r="C16" t="s">
        <v>42</v>
      </c>
      <c r="D16" t="s">
        <v>47</v>
      </c>
      <c r="E16">
        <v>29760</v>
      </c>
      <c r="F16">
        <v>475.18</v>
      </c>
    </row>
    <row r="17" spans="2:6" x14ac:dyDescent="0.3">
      <c r="B17" s="5">
        <v>43635</v>
      </c>
      <c r="C17" t="s">
        <v>35</v>
      </c>
      <c r="D17" t="s">
        <v>21</v>
      </c>
      <c r="E17">
        <v>38754</v>
      </c>
      <c r="F17">
        <v>483.8</v>
      </c>
    </row>
    <row r="18" spans="2:6" x14ac:dyDescent="0.3">
      <c r="B18" s="5">
        <v>43636</v>
      </c>
      <c r="C18" t="s">
        <v>34</v>
      </c>
      <c r="D18" t="s">
        <v>46</v>
      </c>
      <c r="E18">
        <v>40693</v>
      </c>
      <c r="F18">
        <v>381.48</v>
      </c>
    </row>
    <row r="19" spans="2:6" x14ac:dyDescent="0.3">
      <c r="B19" s="5">
        <v>43636</v>
      </c>
      <c r="C19" t="s">
        <v>35</v>
      </c>
      <c r="D19" t="s">
        <v>51</v>
      </c>
      <c r="E19">
        <v>74878</v>
      </c>
      <c r="F19">
        <v>268.58999999999997</v>
      </c>
    </row>
    <row r="20" spans="2:6" x14ac:dyDescent="0.3">
      <c r="B20" s="5">
        <v>43636</v>
      </c>
      <c r="C20" t="s">
        <v>35</v>
      </c>
      <c r="D20" t="s">
        <v>29</v>
      </c>
      <c r="E20">
        <v>110787</v>
      </c>
      <c r="F20">
        <v>481.99</v>
      </c>
    </row>
    <row r="21" spans="2:6" x14ac:dyDescent="0.3">
      <c r="B21" s="5">
        <v>43637</v>
      </c>
      <c r="C21" t="s">
        <v>52</v>
      </c>
      <c r="D21" t="s">
        <v>60</v>
      </c>
      <c r="E21">
        <v>108748</v>
      </c>
      <c r="F21">
        <v>322.77999999999997</v>
      </c>
    </row>
    <row r="22" spans="2:6" x14ac:dyDescent="0.3">
      <c r="B22" s="5">
        <v>43638</v>
      </c>
      <c r="C22" t="s">
        <v>42</v>
      </c>
      <c r="D22" t="s">
        <v>47</v>
      </c>
      <c r="E22">
        <v>29760</v>
      </c>
      <c r="F22">
        <v>352.08</v>
      </c>
    </row>
    <row r="23" spans="2:6" x14ac:dyDescent="0.3">
      <c r="B23" s="5">
        <v>43638</v>
      </c>
      <c r="C23" t="s">
        <v>35</v>
      </c>
      <c r="D23" t="s">
        <v>53</v>
      </c>
      <c r="E23">
        <v>95798</v>
      </c>
      <c r="F23">
        <v>388.24</v>
      </c>
    </row>
    <row r="24" spans="2:6" x14ac:dyDescent="0.3">
      <c r="B24" s="5">
        <v>43640</v>
      </c>
      <c r="C24" t="s">
        <v>50</v>
      </c>
      <c r="D24" t="s">
        <v>53</v>
      </c>
      <c r="E24">
        <v>95798</v>
      </c>
      <c r="F24">
        <v>553.99</v>
      </c>
    </row>
    <row r="25" spans="2:6" x14ac:dyDescent="0.3">
      <c r="B25" s="5">
        <v>43641</v>
      </c>
      <c r="C25" t="s">
        <v>42</v>
      </c>
      <c r="D25" t="s">
        <v>49</v>
      </c>
      <c r="E25">
        <v>29902</v>
      </c>
      <c r="F25">
        <v>403.96</v>
      </c>
    </row>
    <row r="26" spans="2:6" x14ac:dyDescent="0.3">
      <c r="B26" s="5">
        <v>43644</v>
      </c>
      <c r="C26" t="s">
        <v>38</v>
      </c>
      <c r="D26" t="s">
        <v>45</v>
      </c>
      <c r="E26">
        <v>85476</v>
      </c>
      <c r="F26">
        <v>376.82</v>
      </c>
    </row>
    <row r="27" spans="2:6" x14ac:dyDescent="0.3">
      <c r="B27" s="5">
        <v>43644</v>
      </c>
      <c r="C27" t="s">
        <v>34</v>
      </c>
      <c r="D27" t="s">
        <v>45</v>
      </c>
      <c r="E27">
        <v>85476</v>
      </c>
      <c r="F27">
        <v>287.51</v>
      </c>
    </row>
    <row r="28" spans="2:6" x14ac:dyDescent="0.3">
      <c r="B28" s="5">
        <v>43644</v>
      </c>
      <c r="C28" t="s">
        <v>52</v>
      </c>
      <c r="D28" t="s">
        <v>28</v>
      </c>
      <c r="E28">
        <v>58572</v>
      </c>
      <c r="F28">
        <v>267.58</v>
      </c>
    </row>
    <row r="29" spans="2:6" x14ac:dyDescent="0.3">
      <c r="B29" s="5">
        <v>43645</v>
      </c>
      <c r="C29" t="s">
        <v>42</v>
      </c>
      <c r="D29" t="s">
        <v>39</v>
      </c>
      <c r="E29">
        <v>82688</v>
      </c>
      <c r="F29">
        <v>556.46</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2D505-1C42-46B7-9AA7-0FB37F9E072B}">
  <sheetPr codeName="Sheet11">
    <tabColor rgb="FF0000FF"/>
  </sheetPr>
  <dimension ref="B2:F38"/>
  <sheetViews>
    <sheetView workbookViewId="0">
      <selection activeCell="B5" sqref="B5"/>
    </sheetView>
  </sheetViews>
  <sheetFormatPr defaultRowHeight="14.4" x14ac:dyDescent="0.3"/>
  <cols>
    <col min="2" max="2" width="13.5546875" bestFit="1" customWidth="1"/>
    <col min="3" max="3" width="34.109375" customWidth="1"/>
    <col min="4" max="4" width="22.88671875" bestFit="1" customWidth="1"/>
    <col min="5" max="5" width="17.33203125" customWidth="1"/>
    <col min="6" max="6" width="10.33203125" customWidth="1"/>
  </cols>
  <sheetData>
    <row r="2" spans="2:6" x14ac:dyDescent="0.3">
      <c r="B2" t="s">
        <v>32</v>
      </c>
      <c r="C2" t="str">
        <f>"Ex"&amp;TEXT(B6,"yyyymmm")</f>
        <v>Ex2019Jul</v>
      </c>
    </row>
    <row r="3" spans="2:6" x14ac:dyDescent="0.3">
      <c r="B3" t="s">
        <v>33</v>
      </c>
      <c r="C3" s="7" t="str" cm="1">
        <f t="array" aca="1" ref="C3" ca="1">REPLACE(CELL("filename",A1),1,SEARCH("]",CELL("filename",A1)),"")</f>
        <v>19(7)</v>
      </c>
    </row>
    <row r="5" spans="2:6" x14ac:dyDescent="0.3">
      <c r="B5" s="6" t="s">
        <v>7</v>
      </c>
      <c r="C5" s="6" t="s">
        <v>8</v>
      </c>
      <c r="D5" s="6" t="s">
        <v>9</v>
      </c>
      <c r="E5" s="6" t="s">
        <v>10</v>
      </c>
      <c r="F5" s="6" t="s">
        <v>11</v>
      </c>
    </row>
    <row r="6" spans="2:6" x14ac:dyDescent="0.3">
      <c r="B6" s="5">
        <v>43649</v>
      </c>
      <c r="C6" t="s">
        <v>67</v>
      </c>
      <c r="D6" t="s">
        <v>31</v>
      </c>
      <c r="E6">
        <v>33027</v>
      </c>
      <c r="F6">
        <v>24.92</v>
      </c>
    </row>
    <row r="7" spans="2:6" x14ac:dyDescent="0.3">
      <c r="B7" s="5">
        <v>43651</v>
      </c>
      <c r="C7" t="s">
        <v>68</v>
      </c>
      <c r="D7" t="s">
        <v>21</v>
      </c>
      <c r="E7">
        <v>40773</v>
      </c>
      <c r="F7">
        <v>17.170000000000002</v>
      </c>
    </row>
    <row r="8" spans="2:6" x14ac:dyDescent="0.3">
      <c r="B8" s="5">
        <v>43652</v>
      </c>
      <c r="C8" t="s">
        <v>69</v>
      </c>
      <c r="D8" t="s">
        <v>17</v>
      </c>
      <c r="E8">
        <v>68832</v>
      </c>
      <c r="F8">
        <v>20.190000000000001</v>
      </c>
    </row>
    <row r="9" spans="2:6" x14ac:dyDescent="0.3">
      <c r="B9" s="5">
        <v>43654</v>
      </c>
      <c r="C9" t="s">
        <v>70</v>
      </c>
      <c r="D9" t="s">
        <v>36</v>
      </c>
      <c r="E9">
        <v>30122</v>
      </c>
      <c r="F9">
        <v>19</v>
      </c>
    </row>
    <row r="10" spans="2:6" x14ac:dyDescent="0.3">
      <c r="B10" s="5">
        <v>43654</v>
      </c>
      <c r="C10" t="s">
        <v>71</v>
      </c>
      <c r="D10" t="s">
        <v>26</v>
      </c>
      <c r="E10">
        <v>55934</v>
      </c>
      <c r="F10">
        <v>11.2</v>
      </c>
    </row>
    <row r="11" spans="2:6" x14ac:dyDescent="0.3">
      <c r="B11" s="5">
        <v>43657</v>
      </c>
      <c r="C11" t="s">
        <v>68</v>
      </c>
      <c r="D11" t="s">
        <v>13</v>
      </c>
      <c r="E11">
        <v>30945</v>
      </c>
      <c r="F11">
        <v>11.11</v>
      </c>
    </row>
    <row r="12" spans="2:6" x14ac:dyDescent="0.3">
      <c r="B12" s="5">
        <v>43658</v>
      </c>
      <c r="C12" t="s">
        <v>69</v>
      </c>
      <c r="D12" t="s">
        <v>17</v>
      </c>
      <c r="E12">
        <v>68832</v>
      </c>
      <c r="F12">
        <v>22.07</v>
      </c>
    </row>
    <row r="13" spans="2:6" x14ac:dyDescent="0.3">
      <c r="B13" s="5">
        <v>43658</v>
      </c>
      <c r="C13" t="s">
        <v>72</v>
      </c>
      <c r="D13" t="s">
        <v>17</v>
      </c>
      <c r="E13">
        <v>68832</v>
      </c>
      <c r="F13">
        <v>17.29</v>
      </c>
    </row>
    <row r="14" spans="2:6" x14ac:dyDescent="0.3">
      <c r="B14" s="5">
        <v>43659</v>
      </c>
      <c r="C14" t="s">
        <v>67</v>
      </c>
      <c r="D14" t="s">
        <v>46</v>
      </c>
      <c r="E14">
        <v>42712</v>
      </c>
      <c r="F14">
        <v>16.829999999999998</v>
      </c>
    </row>
    <row r="15" spans="2:6" x14ac:dyDescent="0.3">
      <c r="B15" s="5">
        <v>43659</v>
      </c>
      <c r="C15" t="s">
        <v>69</v>
      </c>
      <c r="D15" t="s">
        <v>39</v>
      </c>
      <c r="E15">
        <v>84707</v>
      </c>
      <c r="F15">
        <v>17.05</v>
      </c>
    </row>
    <row r="16" spans="2:6" x14ac:dyDescent="0.3">
      <c r="B16" s="5">
        <v>43659</v>
      </c>
      <c r="C16" t="s">
        <v>73</v>
      </c>
      <c r="D16" t="s">
        <v>60</v>
      </c>
      <c r="E16">
        <v>110767</v>
      </c>
      <c r="F16">
        <v>25.85</v>
      </c>
    </row>
    <row r="17" spans="2:6" x14ac:dyDescent="0.3">
      <c r="B17" s="5">
        <v>43659</v>
      </c>
      <c r="C17" t="s">
        <v>71</v>
      </c>
      <c r="D17" t="s">
        <v>30</v>
      </c>
      <c r="E17">
        <v>42079</v>
      </c>
      <c r="F17">
        <v>15.65</v>
      </c>
    </row>
    <row r="18" spans="2:6" x14ac:dyDescent="0.3">
      <c r="B18" s="5">
        <v>43660</v>
      </c>
      <c r="C18" t="s">
        <v>69</v>
      </c>
      <c r="D18" t="s">
        <v>24</v>
      </c>
      <c r="E18">
        <v>110869</v>
      </c>
      <c r="F18">
        <v>15.5</v>
      </c>
    </row>
    <row r="19" spans="2:6" x14ac:dyDescent="0.3">
      <c r="B19" s="5">
        <v>43660</v>
      </c>
      <c r="C19" t="s">
        <v>73</v>
      </c>
      <c r="D19" t="s">
        <v>23</v>
      </c>
      <c r="E19">
        <v>50425</v>
      </c>
      <c r="F19">
        <v>16.03</v>
      </c>
    </row>
    <row r="20" spans="2:6" x14ac:dyDescent="0.3">
      <c r="B20" s="5">
        <v>43662</v>
      </c>
      <c r="C20" t="s">
        <v>69</v>
      </c>
      <c r="D20" t="s">
        <v>46</v>
      </c>
      <c r="E20">
        <v>42712</v>
      </c>
      <c r="F20">
        <v>13.28</v>
      </c>
    </row>
    <row r="21" spans="2:6" x14ac:dyDescent="0.3">
      <c r="B21" s="5">
        <v>43663</v>
      </c>
      <c r="C21" t="s">
        <v>67</v>
      </c>
      <c r="D21" t="s">
        <v>46</v>
      </c>
      <c r="E21">
        <v>42712</v>
      </c>
      <c r="F21">
        <v>24.51</v>
      </c>
    </row>
    <row r="22" spans="2:6" x14ac:dyDescent="0.3">
      <c r="B22" s="5">
        <v>43663</v>
      </c>
      <c r="C22" t="s">
        <v>68</v>
      </c>
      <c r="D22" t="s">
        <v>39</v>
      </c>
      <c r="E22">
        <v>84707</v>
      </c>
      <c r="F22">
        <v>26.04</v>
      </c>
    </row>
    <row r="23" spans="2:6" x14ac:dyDescent="0.3">
      <c r="B23" s="5">
        <v>43663</v>
      </c>
      <c r="C23" t="s">
        <v>74</v>
      </c>
      <c r="D23" t="s">
        <v>43</v>
      </c>
      <c r="E23">
        <v>112110</v>
      </c>
      <c r="F23">
        <v>23.63</v>
      </c>
    </row>
    <row r="24" spans="2:6" x14ac:dyDescent="0.3">
      <c r="B24" s="5">
        <v>43663</v>
      </c>
      <c r="C24" t="s">
        <v>69</v>
      </c>
      <c r="D24" t="s">
        <v>21</v>
      </c>
      <c r="E24">
        <v>40773</v>
      </c>
      <c r="F24">
        <v>16.91</v>
      </c>
    </row>
    <row r="25" spans="2:6" x14ac:dyDescent="0.3">
      <c r="B25" s="5">
        <v>43665</v>
      </c>
      <c r="C25" t="s">
        <v>67</v>
      </c>
      <c r="D25" t="s">
        <v>47</v>
      </c>
      <c r="E25">
        <v>31779</v>
      </c>
      <c r="F25">
        <v>22.75</v>
      </c>
    </row>
    <row r="26" spans="2:6" x14ac:dyDescent="0.3">
      <c r="B26" s="5">
        <v>43665</v>
      </c>
      <c r="C26" t="s">
        <v>68</v>
      </c>
      <c r="D26" t="s">
        <v>31</v>
      </c>
      <c r="E26">
        <v>33027</v>
      </c>
      <c r="F26">
        <v>11.18</v>
      </c>
    </row>
    <row r="27" spans="2:6" x14ac:dyDescent="0.3">
      <c r="B27" s="5">
        <v>43665</v>
      </c>
      <c r="C27" t="s">
        <v>71</v>
      </c>
      <c r="D27" t="s">
        <v>46</v>
      </c>
      <c r="E27">
        <v>42712</v>
      </c>
      <c r="F27">
        <v>15.56</v>
      </c>
    </row>
    <row r="28" spans="2:6" x14ac:dyDescent="0.3">
      <c r="B28" s="5">
        <v>43666</v>
      </c>
      <c r="C28" t="s">
        <v>71</v>
      </c>
      <c r="D28" t="s">
        <v>13</v>
      </c>
      <c r="E28">
        <v>30945</v>
      </c>
      <c r="F28">
        <v>12.35</v>
      </c>
    </row>
    <row r="29" spans="2:6" x14ac:dyDescent="0.3">
      <c r="B29" s="5">
        <v>43667</v>
      </c>
      <c r="C29" t="s">
        <v>72</v>
      </c>
      <c r="D29" t="s">
        <v>45</v>
      </c>
      <c r="E29">
        <v>87495</v>
      </c>
      <c r="F29">
        <v>20.260000000000002</v>
      </c>
    </row>
    <row r="30" spans="2:6" x14ac:dyDescent="0.3">
      <c r="B30" s="5">
        <v>43669</v>
      </c>
      <c r="C30" t="s">
        <v>67</v>
      </c>
      <c r="D30" t="s">
        <v>15</v>
      </c>
      <c r="E30">
        <v>37896</v>
      </c>
      <c r="F30">
        <v>14.19</v>
      </c>
    </row>
    <row r="31" spans="2:6" x14ac:dyDescent="0.3">
      <c r="B31" s="5">
        <v>43669</v>
      </c>
      <c r="C31" t="s">
        <v>69</v>
      </c>
      <c r="D31" t="s">
        <v>24</v>
      </c>
      <c r="E31">
        <v>110869</v>
      </c>
      <c r="F31">
        <v>14.18</v>
      </c>
    </row>
    <row r="32" spans="2:6" x14ac:dyDescent="0.3">
      <c r="B32" s="5">
        <v>43669</v>
      </c>
      <c r="C32" t="s">
        <v>74</v>
      </c>
      <c r="D32" t="s">
        <v>60</v>
      </c>
      <c r="E32">
        <v>110767</v>
      </c>
      <c r="F32">
        <v>17.62</v>
      </c>
    </row>
    <row r="33" spans="2:6" x14ac:dyDescent="0.3">
      <c r="B33" s="5">
        <v>43673</v>
      </c>
      <c r="C33" t="s">
        <v>71</v>
      </c>
      <c r="D33" t="s">
        <v>36</v>
      </c>
      <c r="E33">
        <v>30122</v>
      </c>
      <c r="F33">
        <v>19.28</v>
      </c>
    </row>
    <row r="34" spans="2:6" x14ac:dyDescent="0.3">
      <c r="B34" s="5">
        <v>43673</v>
      </c>
      <c r="C34" t="s">
        <v>69</v>
      </c>
      <c r="D34" t="s">
        <v>21</v>
      </c>
      <c r="E34">
        <v>40773</v>
      </c>
      <c r="F34">
        <v>20.149999999999999</v>
      </c>
    </row>
    <row r="35" spans="2:6" x14ac:dyDescent="0.3">
      <c r="B35" s="5">
        <v>43674</v>
      </c>
      <c r="C35" t="s">
        <v>70</v>
      </c>
      <c r="D35" t="s">
        <v>29</v>
      </c>
      <c r="E35">
        <v>112806</v>
      </c>
      <c r="F35">
        <v>19.07</v>
      </c>
    </row>
    <row r="36" spans="2:6" x14ac:dyDescent="0.3">
      <c r="B36" s="5">
        <v>43674</v>
      </c>
      <c r="C36" t="s">
        <v>69</v>
      </c>
      <c r="D36" t="s">
        <v>45</v>
      </c>
      <c r="E36">
        <v>87495</v>
      </c>
      <c r="F36">
        <v>12.43</v>
      </c>
    </row>
    <row r="37" spans="2:6" x14ac:dyDescent="0.3">
      <c r="B37" s="5">
        <v>43676</v>
      </c>
      <c r="C37" t="s">
        <v>68</v>
      </c>
      <c r="D37" t="s">
        <v>46</v>
      </c>
      <c r="E37">
        <v>42712</v>
      </c>
      <c r="F37">
        <v>23.96</v>
      </c>
    </row>
    <row r="38" spans="2:6" x14ac:dyDescent="0.3">
      <c r="B38" s="5">
        <v>43677</v>
      </c>
      <c r="C38" t="s">
        <v>69</v>
      </c>
      <c r="D38" t="s">
        <v>15</v>
      </c>
      <c r="E38">
        <v>37896</v>
      </c>
      <c r="F38">
        <v>25.76</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125388-276F-4E02-BC12-61C9BA0C4B0D}">
  <sheetPr codeName="Sheet12">
    <tabColor rgb="FF0000FF"/>
  </sheetPr>
  <dimension ref="B2:F26"/>
  <sheetViews>
    <sheetView workbookViewId="0">
      <selection activeCell="B5" sqref="B5"/>
    </sheetView>
  </sheetViews>
  <sheetFormatPr defaultRowHeight="14.4" x14ac:dyDescent="0.3"/>
  <cols>
    <col min="2" max="2" width="13.5546875" bestFit="1" customWidth="1"/>
    <col min="3" max="3" width="34.109375" customWidth="1"/>
    <col min="4" max="4" width="21.109375" bestFit="1" customWidth="1"/>
    <col min="5" max="5" width="17.33203125" customWidth="1"/>
    <col min="6" max="6" width="10.33203125" customWidth="1"/>
  </cols>
  <sheetData>
    <row r="2" spans="2:6" x14ac:dyDescent="0.3">
      <c r="B2" t="s">
        <v>32</v>
      </c>
      <c r="C2" t="str">
        <f>"Ex"&amp;TEXT(B6,"yyyymmm")</f>
        <v>Ex2019Aug</v>
      </c>
    </row>
    <row r="3" spans="2:6" x14ac:dyDescent="0.3">
      <c r="B3" t="s">
        <v>33</v>
      </c>
      <c r="C3" s="7" t="str" cm="1">
        <f t="array" aca="1" ref="C3" ca="1">REPLACE(CELL("filename",A1),1,SEARCH("]",CELL("filename",A1)),"")</f>
        <v>19(8)</v>
      </c>
    </row>
    <row r="5" spans="2:6" x14ac:dyDescent="0.3">
      <c r="B5" s="6" t="s">
        <v>7</v>
      </c>
      <c r="C5" s="6" t="s">
        <v>8</v>
      </c>
      <c r="D5" s="6" t="s">
        <v>9</v>
      </c>
      <c r="E5" s="6" t="s">
        <v>10</v>
      </c>
      <c r="F5" s="6" t="s">
        <v>11</v>
      </c>
    </row>
    <row r="6" spans="2:6" x14ac:dyDescent="0.3">
      <c r="B6" s="5">
        <v>43681</v>
      </c>
      <c r="C6" t="s">
        <v>68</v>
      </c>
      <c r="D6" t="s">
        <v>62</v>
      </c>
      <c r="E6">
        <v>104640</v>
      </c>
      <c r="F6">
        <v>73.41</v>
      </c>
    </row>
    <row r="7" spans="2:6" x14ac:dyDescent="0.3">
      <c r="B7" s="5">
        <v>43681</v>
      </c>
      <c r="C7" t="s">
        <v>73</v>
      </c>
      <c r="D7" t="s">
        <v>45</v>
      </c>
      <c r="E7">
        <v>89514</v>
      </c>
      <c r="F7">
        <v>25.54</v>
      </c>
    </row>
    <row r="8" spans="2:6" x14ac:dyDescent="0.3">
      <c r="B8" s="5">
        <v>43681</v>
      </c>
      <c r="C8" t="s">
        <v>71</v>
      </c>
      <c r="D8" t="s">
        <v>41</v>
      </c>
      <c r="E8">
        <v>77727</v>
      </c>
      <c r="F8">
        <v>106.12</v>
      </c>
    </row>
    <row r="9" spans="2:6" x14ac:dyDescent="0.3">
      <c r="B9" s="5">
        <v>43682</v>
      </c>
      <c r="C9" t="s">
        <v>68</v>
      </c>
      <c r="D9" t="s">
        <v>65</v>
      </c>
      <c r="E9">
        <v>16535</v>
      </c>
      <c r="F9">
        <v>134.96</v>
      </c>
    </row>
    <row r="10" spans="2:6" x14ac:dyDescent="0.3">
      <c r="B10" s="5">
        <v>43683</v>
      </c>
      <c r="C10" t="s">
        <v>72</v>
      </c>
      <c r="D10" t="s">
        <v>48</v>
      </c>
      <c r="E10">
        <v>41187</v>
      </c>
      <c r="F10">
        <v>76.53</v>
      </c>
    </row>
    <row r="11" spans="2:6" x14ac:dyDescent="0.3">
      <c r="B11" s="5">
        <v>43686</v>
      </c>
      <c r="C11" t="s">
        <v>70</v>
      </c>
      <c r="D11" t="s">
        <v>21</v>
      </c>
      <c r="E11">
        <v>42792</v>
      </c>
      <c r="F11">
        <v>118.64</v>
      </c>
    </row>
    <row r="12" spans="2:6" x14ac:dyDescent="0.3">
      <c r="B12" s="5">
        <v>43687</v>
      </c>
      <c r="C12" t="s">
        <v>74</v>
      </c>
      <c r="D12" t="s">
        <v>28</v>
      </c>
      <c r="E12">
        <v>62610</v>
      </c>
      <c r="F12">
        <v>151.69</v>
      </c>
    </row>
    <row r="13" spans="2:6" x14ac:dyDescent="0.3">
      <c r="B13" s="5">
        <v>43688</v>
      </c>
      <c r="C13" t="s">
        <v>74</v>
      </c>
      <c r="D13" t="s">
        <v>43</v>
      </c>
      <c r="E13">
        <v>114129</v>
      </c>
      <c r="F13">
        <v>108.8</v>
      </c>
    </row>
    <row r="14" spans="2:6" x14ac:dyDescent="0.3">
      <c r="B14" s="5">
        <v>43688</v>
      </c>
      <c r="C14" t="s">
        <v>67</v>
      </c>
      <c r="D14" t="s">
        <v>66</v>
      </c>
      <c r="E14">
        <v>76710</v>
      </c>
      <c r="F14">
        <v>147.62</v>
      </c>
    </row>
    <row r="15" spans="2:6" x14ac:dyDescent="0.3">
      <c r="B15" s="5">
        <v>43689</v>
      </c>
      <c r="C15" t="s">
        <v>71</v>
      </c>
      <c r="D15" t="s">
        <v>36</v>
      </c>
      <c r="E15">
        <v>32141</v>
      </c>
      <c r="F15">
        <v>128.46</v>
      </c>
    </row>
    <row r="16" spans="2:6" x14ac:dyDescent="0.3">
      <c r="B16" s="5">
        <v>43689</v>
      </c>
      <c r="C16" t="s">
        <v>67</v>
      </c>
      <c r="D16" t="s">
        <v>26</v>
      </c>
      <c r="E16">
        <v>57953</v>
      </c>
      <c r="F16">
        <v>110.34</v>
      </c>
    </row>
    <row r="17" spans="2:6" x14ac:dyDescent="0.3">
      <c r="B17" s="5">
        <v>43693</v>
      </c>
      <c r="C17" t="s">
        <v>68</v>
      </c>
      <c r="D17" t="s">
        <v>21</v>
      </c>
      <c r="E17">
        <v>42792</v>
      </c>
      <c r="F17">
        <v>152.26</v>
      </c>
    </row>
    <row r="18" spans="2:6" x14ac:dyDescent="0.3">
      <c r="B18" s="5">
        <v>43696</v>
      </c>
      <c r="C18" t="s">
        <v>72</v>
      </c>
      <c r="D18" t="s">
        <v>28</v>
      </c>
      <c r="E18">
        <v>62610</v>
      </c>
      <c r="F18">
        <v>15.54</v>
      </c>
    </row>
    <row r="19" spans="2:6" x14ac:dyDescent="0.3">
      <c r="B19" s="5">
        <v>43697</v>
      </c>
      <c r="C19" t="s">
        <v>69</v>
      </c>
      <c r="D19" t="s">
        <v>43</v>
      </c>
      <c r="E19">
        <v>114129</v>
      </c>
      <c r="F19">
        <v>58.15</v>
      </c>
    </row>
    <row r="20" spans="2:6" x14ac:dyDescent="0.3">
      <c r="B20" s="5">
        <v>43698</v>
      </c>
      <c r="C20" t="s">
        <v>71</v>
      </c>
      <c r="D20" t="s">
        <v>56</v>
      </c>
      <c r="E20">
        <v>82207</v>
      </c>
      <c r="F20">
        <v>36.19</v>
      </c>
    </row>
    <row r="21" spans="2:6" x14ac:dyDescent="0.3">
      <c r="B21" s="5">
        <v>43703</v>
      </c>
      <c r="C21" t="s">
        <v>74</v>
      </c>
      <c r="D21" t="s">
        <v>60</v>
      </c>
      <c r="E21">
        <v>112786</v>
      </c>
      <c r="F21">
        <v>40.35</v>
      </c>
    </row>
    <row r="22" spans="2:6" x14ac:dyDescent="0.3">
      <c r="B22" s="5">
        <v>43704</v>
      </c>
      <c r="C22" t="s">
        <v>68</v>
      </c>
      <c r="D22" t="s">
        <v>15</v>
      </c>
      <c r="E22">
        <v>39915</v>
      </c>
      <c r="F22">
        <v>20.5</v>
      </c>
    </row>
    <row r="23" spans="2:6" x14ac:dyDescent="0.3">
      <c r="B23" s="5">
        <v>43704</v>
      </c>
      <c r="C23" t="s">
        <v>74</v>
      </c>
      <c r="D23" t="s">
        <v>65</v>
      </c>
      <c r="E23">
        <v>16535</v>
      </c>
      <c r="F23">
        <v>126.54</v>
      </c>
    </row>
    <row r="24" spans="2:6" x14ac:dyDescent="0.3">
      <c r="B24" s="5">
        <v>43705</v>
      </c>
      <c r="C24" t="s">
        <v>69</v>
      </c>
      <c r="D24" t="s">
        <v>28</v>
      </c>
      <c r="E24">
        <v>62610</v>
      </c>
      <c r="F24">
        <v>62.66</v>
      </c>
    </row>
    <row r="25" spans="2:6" x14ac:dyDescent="0.3">
      <c r="B25" s="5">
        <v>43706</v>
      </c>
      <c r="C25" t="s">
        <v>69</v>
      </c>
      <c r="D25" t="s">
        <v>15</v>
      </c>
      <c r="E25">
        <v>39915</v>
      </c>
      <c r="F25">
        <v>9.7899999999999991</v>
      </c>
    </row>
    <row r="26" spans="2:6" x14ac:dyDescent="0.3">
      <c r="B26" s="5">
        <v>43707</v>
      </c>
      <c r="C26" t="s">
        <v>70</v>
      </c>
      <c r="D26" t="s">
        <v>37</v>
      </c>
      <c r="E26">
        <v>114190</v>
      </c>
      <c r="F26">
        <v>120.48</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1A359-D3DA-4063-8704-9179B1951C9C}">
  <sheetPr codeName="Sheet13">
    <tabColor rgb="FF0000FF"/>
  </sheetPr>
  <dimension ref="B2:F37"/>
  <sheetViews>
    <sheetView workbookViewId="0">
      <selection activeCell="B5" sqref="B5"/>
    </sheetView>
  </sheetViews>
  <sheetFormatPr defaultRowHeight="14.4" x14ac:dyDescent="0.3"/>
  <cols>
    <col min="2" max="2" width="13.5546875" bestFit="1" customWidth="1"/>
    <col min="3" max="3" width="41.109375" bestFit="1" customWidth="1"/>
    <col min="4" max="4" width="21.109375" bestFit="1" customWidth="1"/>
    <col min="5" max="5" width="17.33203125" customWidth="1"/>
    <col min="6" max="6" width="10.33203125" customWidth="1"/>
  </cols>
  <sheetData>
    <row r="2" spans="2:6" x14ac:dyDescent="0.3">
      <c r="B2" t="s">
        <v>32</v>
      </c>
      <c r="C2" t="str">
        <f>"Ex"&amp;TEXT(B6,"yyyymmm")</f>
        <v>Ex2019Sep</v>
      </c>
    </row>
    <row r="3" spans="2:6" x14ac:dyDescent="0.3">
      <c r="B3" t="s">
        <v>33</v>
      </c>
      <c r="C3" s="7" t="str" cm="1">
        <f t="array" aca="1" ref="C3" ca="1">REPLACE(CELL("filename",A1),1,SEARCH("]",CELL("filename",A1)),"")</f>
        <v>19(9)</v>
      </c>
    </row>
    <row r="5" spans="2:6" x14ac:dyDescent="0.3">
      <c r="B5" s="6" t="s">
        <v>7</v>
      </c>
      <c r="C5" s="6" t="s">
        <v>8</v>
      </c>
      <c r="D5" s="6" t="s">
        <v>9</v>
      </c>
      <c r="E5" s="6" t="s">
        <v>10</v>
      </c>
      <c r="F5" s="6" t="s">
        <v>11</v>
      </c>
    </row>
    <row r="6" spans="2:6" x14ac:dyDescent="0.3">
      <c r="B6" s="5">
        <v>43711</v>
      </c>
      <c r="C6" t="s">
        <v>42</v>
      </c>
      <c r="D6" t="s">
        <v>17</v>
      </c>
      <c r="E6">
        <v>72870</v>
      </c>
      <c r="F6">
        <v>21.9</v>
      </c>
    </row>
    <row r="7" spans="2:6" x14ac:dyDescent="0.3">
      <c r="B7" s="5">
        <v>43713</v>
      </c>
      <c r="C7" t="s">
        <v>52</v>
      </c>
      <c r="D7" t="s">
        <v>36</v>
      </c>
      <c r="E7">
        <v>34160</v>
      </c>
      <c r="F7">
        <v>43.87</v>
      </c>
    </row>
    <row r="8" spans="2:6" x14ac:dyDescent="0.3">
      <c r="B8" s="5">
        <v>43714</v>
      </c>
      <c r="C8" t="s">
        <v>35</v>
      </c>
      <c r="D8" t="s">
        <v>15</v>
      </c>
      <c r="E8">
        <v>41934</v>
      </c>
      <c r="F8">
        <v>40.03</v>
      </c>
    </row>
    <row r="9" spans="2:6" x14ac:dyDescent="0.3">
      <c r="B9" s="5">
        <v>43714</v>
      </c>
      <c r="C9" t="s">
        <v>38</v>
      </c>
      <c r="D9" t="s">
        <v>60</v>
      </c>
      <c r="E9">
        <v>114805</v>
      </c>
      <c r="F9">
        <v>49.65</v>
      </c>
    </row>
    <row r="10" spans="2:6" x14ac:dyDescent="0.3">
      <c r="B10" s="5">
        <v>43715</v>
      </c>
      <c r="C10" t="s">
        <v>34</v>
      </c>
      <c r="D10" t="s">
        <v>37</v>
      </c>
      <c r="E10">
        <v>116209</v>
      </c>
      <c r="F10">
        <v>24.07</v>
      </c>
    </row>
    <row r="11" spans="2:6" x14ac:dyDescent="0.3">
      <c r="B11" s="5">
        <v>43715</v>
      </c>
      <c r="C11" t="s">
        <v>35</v>
      </c>
      <c r="D11" t="s">
        <v>24</v>
      </c>
      <c r="E11">
        <v>114907</v>
      </c>
      <c r="F11">
        <v>38.26</v>
      </c>
    </row>
    <row r="12" spans="2:6" x14ac:dyDescent="0.3">
      <c r="B12" s="5">
        <v>43715</v>
      </c>
      <c r="C12" t="s">
        <v>40</v>
      </c>
      <c r="D12" t="s">
        <v>51</v>
      </c>
      <c r="E12">
        <v>80935</v>
      </c>
      <c r="F12">
        <v>42.58</v>
      </c>
    </row>
    <row r="13" spans="2:6" x14ac:dyDescent="0.3">
      <c r="B13" s="5">
        <v>43716</v>
      </c>
      <c r="C13" t="s">
        <v>35</v>
      </c>
      <c r="D13" t="s">
        <v>23</v>
      </c>
      <c r="E13">
        <v>54463</v>
      </c>
      <c r="F13">
        <v>59.86</v>
      </c>
    </row>
    <row r="14" spans="2:6" x14ac:dyDescent="0.3">
      <c r="B14" s="5">
        <v>43717</v>
      </c>
      <c r="C14" t="s">
        <v>42</v>
      </c>
      <c r="D14" t="s">
        <v>56</v>
      </c>
      <c r="E14">
        <v>84226</v>
      </c>
      <c r="F14">
        <v>51.65</v>
      </c>
    </row>
    <row r="15" spans="2:6" x14ac:dyDescent="0.3">
      <c r="B15" s="5">
        <v>43717</v>
      </c>
      <c r="C15" t="s">
        <v>42</v>
      </c>
      <c r="D15" t="s">
        <v>13</v>
      </c>
      <c r="E15">
        <v>34983</v>
      </c>
      <c r="F15">
        <v>22.31</v>
      </c>
    </row>
    <row r="16" spans="2:6" x14ac:dyDescent="0.3">
      <c r="B16" s="5">
        <v>43718</v>
      </c>
      <c r="C16" t="s">
        <v>40</v>
      </c>
      <c r="D16" t="s">
        <v>17</v>
      </c>
      <c r="E16">
        <v>72870</v>
      </c>
      <c r="F16">
        <v>55.07</v>
      </c>
    </row>
    <row r="17" spans="2:6" x14ac:dyDescent="0.3">
      <c r="B17" s="5">
        <v>43718</v>
      </c>
      <c r="C17" t="s">
        <v>34</v>
      </c>
      <c r="D17" t="s">
        <v>31</v>
      </c>
      <c r="E17">
        <v>37065</v>
      </c>
      <c r="F17">
        <v>46.78</v>
      </c>
    </row>
    <row r="18" spans="2:6" x14ac:dyDescent="0.3">
      <c r="B18" s="5">
        <v>43720</v>
      </c>
      <c r="C18" t="s">
        <v>44</v>
      </c>
      <c r="D18" t="s">
        <v>60</v>
      </c>
      <c r="E18">
        <v>114805</v>
      </c>
      <c r="F18">
        <v>27.88</v>
      </c>
    </row>
    <row r="19" spans="2:6" x14ac:dyDescent="0.3">
      <c r="B19" s="5">
        <v>43721</v>
      </c>
      <c r="C19" t="s">
        <v>42</v>
      </c>
      <c r="D19" t="s">
        <v>15</v>
      </c>
      <c r="E19">
        <v>41934</v>
      </c>
      <c r="F19">
        <v>45.95</v>
      </c>
    </row>
    <row r="20" spans="2:6" x14ac:dyDescent="0.3">
      <c r="B20" s="5">
        <v>43723</v>
      </c>
      <c r="C20" t="s">
        <v>35</v>
      </c>
      <c r="D20" t="s">
        <v>49</v>
      </c>
      <c r="E20">
        <v>35959</v>
      </c>
      <c r="F20">
        <v>54.65</v>
      </c>
    </row>
    <row r="21" spans="2:6" x14ac:dyDescent="0.3">
      <c r="B21" s="5">
        <v>43724</v>
      </c>
      <c r="C21" t="s">
        <v>42</v>
      </c>
      <c r="D21" t="s">
        <v>51</v>
      </c>
      <c r="E21">
        <v>80935</v>
      </c>
      <c r="F21">
        <v>54.09</v>
      </c>
    </row>
    <row r="22" spans="2:6" x14ac:dyDescent="0.3">
      <c r="B22" s="5">
        <v>43726</v>
      </c>
      <c r="C22" t="s">
        <v>38</v>
      </c>
      <c r="D22" t="s">
        <v>28</v>
      </c>
      <c r="E22">
        <v>64629</v>
      </c>
      <c r="F22">
        <v>55.43</v>
      </c>
    </row>
    <row r="23" spans="2:6" x14ac:dyDescent="0.3">
      <c r="B23" s="5">
        <v>43727</v>
      </c>
      <c r="C23" t="s">
        <v>42</v>
      </c>
      <c r="D23" t="s">
        <v>21</v>
      </c>
      <c r="E23">
        <v>44811</v>
      </c>
      <c r="F23">
        <v>31.02</v>
      </c>
    </row>
    <row r="24" spans="2:6" x14ac:dyDescent="0.3">
      <c r="B24" s="5">
        <v>43729</v>
      </c>
      <c r="C24" t="s">
        <v>42</v>
      </c>
      <c r="D24" t="s">
        <v>43</v>
      </c>
      <c r="E24">
        <v>116148</v>
      </c>
      <c r="F24">
        <v>43.13</v>
      </c>
    </row>
    <row r="25" spans="2:6" x14ac:dyDescent="0.3">
      <c r="B25" s="5">
        <v>43731</v>
      </c>
      <c r="C25" t="s">
        <v>38</v>
      </c>
      <c r="D25" t="s">
        <v>48</v>
      </c>
      <c r="E25">
        <v>43206</v>
      </c>
      <c r="F25">
        <v>50.76</v>
      </c>
    </row>
    <row r="26" spans="2:6" x14ac:dyDescent="0.3">
      <c r="B26" s="5">
        <v>43731</v>
      </c>
      <c r="C26" t="s">
        <v>34</v>
      </c>
      <c r="D26" t="s">
        <v>45</v>
      </c>
      <c r="E26">
        <v>91533</v>
      </c>
      <c r="F26">
        <v>25.83</v>
      </c>
    </row>
    <row r="27" spans="2:6" x14ac:dyDescent="0.3">
      <c r="B27" s="5">
        <v>43731</v>
      </c>
      <c r="C27" t="s">
        <v>42</v>
      </c>
      <c r="D27" t="s">
        <v>62</v>
      </c>
      <c r="E27">
        <v>106659</v>
      </c>
      <c r="F27">
        <v>51.11</v>
      </c>
    </row>
    <row r="28" spans="2:6" x14ac:dyDescent="0.3">
      <c r="B28" s="5">
        <v>43732</v>
      </c>
      <c r="C28" t="s">
        <v>40</v>
      </c>
      <c r="D28" t="s">
        <v>49</v>
      </c>
      <c r="E28">
        <v>35959</v>
      </c>
      <c r="F28">
        <v>42.99</v>
      </c>
    </row>
    <row r="29" spans="2:6" x14ac:dyDescent="0.3">
      <c r="B29" s="5">
        <v>43733</v>
      </c>
      <c r="C29" t="s">
        <v>44</v>
      </c>
      <c r="D29" t="s">
        <v>62</v>
      </c>
      <c r="E29">
        <v>106659</v>
      </c>
      <c r="F29">
        <v>34.21</v>
      </c>
    </row>
    <row r="30" spans="2:6" x14ac:dyDescent="0.3">
      <c r="B30" s="5">
        <v>43734</v>
      </c>
      <c r="C30" t="s">
        <v>44</v>
      </c>
      <c r="D30" t="s">
        <v>23</v>
      </c>
      <c r="E30">
        <v>54463</v>
      </c>
      <c r="F30">
        <v>41.43</v>
      </c>
    </row>
    <row r="31" spans="2:6" x14ac:dyDescent="0.3">
      <c r="B31" s="5">
        <v>43735</v>
      </c>
      <c r="C31" t="s">
        <v>42</v>
      </c>
      <c r="D31" t="s">
        <v>65</v>
      </c>
      <c r="E31">
        <v>18554</v>
      </c>
      <c r="F31">
        <v>51.3</v>
      </c>
    </row>
    <row r="32" spans="2:6" x14ac:dyDescent="0.3">
      <c r="B32" s="5">
        <v>43736</v>
      </c>
      <c r="C32" t="s">
        <v>50</v>
      </c>
      <c r="D32" t="s">
        <v>15</v>
      </c>
      <c r="E32">
        <v>41934</v>
      </c>
      <c r="F32">
        <v>21.13</v>
      </c>
    </row>
    <row r="33" spans="2:6" x14ac:dyDescent="0.3">
      <c r="B33" s="5">
        <v>43736</v>
      </c>
      <c r="C33" t="s">
        <v>34</v>
      </c>
      <c r="D33" t="s">
        <v>36</v>
      </c>
      <c r="E33">
        <v>34160</v>
      </c>
      <c r="F33">
        <v>39.64</v>
      </c>
    </row>
    <row r="34" spans="2:6" x14ac:dyDescent="0.3">
      <c r="B34" s="5">
        <v>43736</v>
      </c>
      <c r="C34" t="s">
        <v>35</v>
      </c>
      <c r="D34" t="s">
        <v>66</v>
      </c>
      <c r="E34">
        <v>78729</v>
      </c>
      <c r="F34">
        <v>51.65</v>
      </c>
    </row>
    <row r="35" spans="2:6" x14ac:dyDescent="0.3">
      <c r="B35" s="5">
        <v>43737</v>
      </c>
      <c r="C35" t="s">
        <v>52</v>
      </c>
      <c r="D35" t="s">
        <v>65</v>
      </c>
      <c r="E35">
        <v>18554</v>
      </c>
      <c r="F35">
        <v>53.8</v>
      </c>
    </row>
    <row r="36" spans="2:6" x14ac:dyDescent="0.3">
      <c r="B36" s="5">
        <v>43737</v>
      </c>
      <c r="C36" t="s">
        <v>42</v>
      </c>
      <c r="D36" t="s">
        <v>41</v>
      </c>
      <c r="E36">
        <v>79746</v>
      </c>
      <c r="F36">
        <v>21.04</v>
      </c>
    </row>
    <row r="37" spans="2:6" x14ac:dyDescent="0.3">
      <c r="B37" s="5">
        <v>43737</v>
      </c>
      <c r="C37" t="s">
        <v>34</v>
      </c>
      <c r="D37" t="s">
        <v>65</v>
      </c>
      <c r="E37">
        <v>18554</v>
      </c>
      <c r="F37">
        <v>23.78</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6F995D-4665-480B-B9E7-326383C48E0D}">
  <sheetPr codeName="Sheet14">
    <tabColor rgb="FF0000FF"/>
  </sheetPr>
  <dimension ref="B2:F23"/>
  <sheetViews>
    <sheetView workbookViewId="0">
      <selection activeCell="B5" sqref="B5:F23"/>
    </sheetView>
  </sheetViews>
  <sheetFormatPr defaultRowHeight="14.4" x14ac:dyDescent="0.3"/>
  <cols>
    <col min="2" max="2" width="13.5546875" bestFit="1" customWidth="1"/>
    <col min="3" max="3" width="34.109375" customWidth="1"/>
    <col min="4" max="4" width="22.88671875" bestFit="1" customWidth="1"/>
    <col min="5" max="5" width="17.33203125" customWidth="1"/>
    <col min="6" max="6" width="10.33203125" customWidth="1"/>
  </cols>
  <sheetData>
    <row r="2" spans="2:6" x14ac:dyDescent="0.3">
      <c r="B2" t="s">
        <v>32</v>
      </c>
      <c r="C2" t="str">
        <f>"Ex"&amp;TEXT(B6,"yyyymmm")</f>
        <v>Ex2019Oct</v>
      </c>
    </row>
    <row r="3" spans="2:6" x14ac:dyDescent="0.3">
      <c r="B3" t="s">
        <v>33</v>
      </c>
      <c r="C3" s="7" t="str" cm="1">
        <f t="array" aca="1" ref="C3" ca="1">REPLACE(CELL("filename",A1),1,SEARCH("]",CELL("filename",A1)),"")</f>
        <v>19(10)</v>
      </c>
    </row>
    <row r="5" spans="2:6" x14ac:dyDescent="0.3">
      <c r="B5" s="6" t="s">
        <v>7</v>
      </c>
      <c r="C5" s="6" t="s">
        <v>8</v>
      </c>
      <c r="D5" s="6" t="s">
        <v>9</v>
      </c>
      <c r="E5" s="6" t="s">
        <v>10</v>
      </c>
      <c r="F5" s="6" t="s">
        <v>11</v>
      </c>
    </row>
    <row r="6" spans="2:6" x14ac:dyDescent="0.3">
      <c r="B6" s="5">
        <v>43742</v>
      </c>
      <c r="C6" t="s">
        <v>61</v>
      </c>
      <c r="D6" t="s">
        <v>43</v>
      </c>
      <c r="E6">
        <v>118167</v>
      </c>
      <c r="F6">
        <v>760.72</v>
      </c>
    </row>
    <row r="7" spans="2:6" x14ac:dyDescent="0.3">
      <c r="B7" s="5">
        <v>43743</v>
      </c>
      <c r="C7" t="s">
        <v>55</v>
      </c>
      <c r="D7" t="s">
        <v>39</v>
      </c>
      <c r="E7">
        <v>90764</v>
      </c>
      <c r="F7">
        <v>468.72</v>
      </c>
    </row>
    <row r="8" spans="2:6" x14ac:dyDescent="0.3">
      <c r="B8" s="5">
        <v>43749</v>
      </c>
      <c r="C8" t="s">
        <v>75</v>
      </c>
      <c r="D8" t="s">
        <v>53</v>
      </c>
      <c r="E8">
        <v>103874</v>
      </c>
      <c r="F8">
        <v>367.81</v>
      </c>
    </row>
    <row r="9" spans="2:6" x14ac:dyDescent="0.3">
      <c r="B9" s="5">
        <v>43751</v>
      </c>
      <c r="C9" t="s">
        <v>76</v>
      </c>
      <c r="D9" t="s">
        <v>47</v>
      </c>
      <c r="E9">
        <v>37836</v>
      </c>
      <c r="F9">
        <v>198.96</v>
      </c>
    </row>
    <row r="10" spans="2:6" x14ac:dyDescent="0.3">
      <c r="B10" s="5">
        <v>43753</v>
      </c>
      <c r="C10" t="s">
        <v>57</v>
      </c>
      <c r="D10" t="s">
        <v>29</v>
      </c>
      <c r="E10">
        <v>118863</v>
      </c>
      <c r="F10">
        <v>631.39</v>
      </c>
    </row>
    <row r="11" spans="2:6" x14ac:dyDescent="0.3">
      <c r="B11" s="5">
        <v>43755</v>
      </c>
      <c r="C11" t="s">
        <v>57</v>
      </c>
      <c r="D11" t="s">
        <v>63</v>
      </c>
      <c r="E11">
        <v>106225</v>
      </c>
      <c r="F11">
        <v>115.3</v>
      </c>
    </row>
    <row r="12" spans="2:6" x14ac:dyDescent="0.3">
      <c r="B12" s="5">
        <v>43757</v>
      </c>
      <c r="C12" t="s">
        <v>61</v>
      </c>
      <c r="D12" t="s">
        <v>63</v>
      </c>
      <c r="E12">
        <v>106225</v>
      </c>
      <c r="F12">
        <v>322.33999999999997</v>
      </c>
    </row>
    <row r="13" spans="2:6" x14ac:dyDescent="0.3">
      <c r="B13" s="5">
        <v>43758</v>
      </c>
      <c r="C13" t="s">
        <v>57</v>
      </c>
      <c r="D13" t="s">
        <v>65</v>
      </c>
      <c r="E13">
        <v>20573</v>
      </c>
      <c r="F13">
        <v>1192.74</v>
      </c>
    </row>
    <row r="14" spans="2:6" x14ac:dyDescent="0.3">
      <c r="B14" s="5">
        <v>43758</v>
      </c>
      <c r="C14" t="s">
        <v>54</v>
      </c>
      <c r="D14" t="s">
        <v>46</v>
      </c>
      <c r="E14">
        <v>48769</v>
      </c>
      <c r="F14">
        <v>261.49</v>
      </c>
    </row>
    <row r="15" spans="2:6" x14ac:dyDescent="0.3">
      <c r="B15" s="5">
        <v>43760</v>
      </c>
      <c r="C15" t="s">
        <v>59</v>
      </c>
      <c r="D15" t="s">
        <v>66</v>
      </c>
      <c r="E15">
        <v>80748</v>
      </c>
      <c r="F15">
        <v>329.88</v>
      </c>
    </row>
    <row r="16" spans="2:6" x14ac:dyDescent="0.3">
      <c r="B16" s="5">
        <v>43760</v>
      </c>
      <c r="C16" t="s">
        <v>57</v>
      </c>
      <c r="D16" t="s">
        <v>66</v>
      </c>
      <c r="E16">
        <v>80748</v>
      </c>
      <c r="F16">
        <v>573.23</v>
      </c>
    </row>
    <row r="17" spans="2:6" x14ac:dyDescent="0.3">
      <c r="B17" s="5">
        <v>43761</v>
      </c>
      <c r="C17" t="s">
        <v>58</v>
      </c>
      <c r="D17" t="s">
        <v>26</v>
      </c>
      <c r="E17">
        <v>61991</v>
      </c>
      <c r="F17">
        <v>54.2</v>
      </c>
    </row>
    <row r="18" spans="2:6" x14ac:dyDescent="0.3">
      <c r="B18" s="5">
        <v>43762</v>
      </c>
      <c r="C18" t="s">
        <v>54</v>
      </c>
      <c r="D18" t="s">
        <v>30</v>
      </c>
      <c r="E18">
        <v>48136</v>
      </c>
      <c r="F18">
        <v>1217.44</v>
      </c>
    </row>
    <row r="19" spans="2:6" x14ac:dyDescent="0.3">
      <c r="B19" s="5">
        <v>43762</v>
      </c>
      <c r="C19" t="s">
        <v>75</v>
      </c>
      <c r="D19" t="s">
        <v>62</v>
      </c>
      <c r="E19">
        <v>108678</v>
      </c>
      <c r="F19">
        <v>101.54</v>
      </c>
    </row>
    <row r="20" spans="2:6" x14ac:dyDescent="0.3">
      <c r="B20" s="5">
        <v>43763</v>
      </c>
      <c r="C20" t="s">
        <v>75</v>
      </c>
      <c r="D20" t="s">
        <v>29</v>
      </c>
      <c r="E20">
        <v>118863</v>
      </c>
      <c r="F20">
        <v>772.79</v>
      </c>
    </row>
    <row r="21" spans="2:6" x14ac:dyDescent="0.3">
      <c r="B21" s="5">
        <v>43766</v>
      </c>
      <c r="C21" t="s">
        <v>75</v>
      </c>
      <c r="D21" t="s">
        <v>31</v>
      </c>
      <c r="E21">
        <v>39084</v>
      </c>
      <c r="F21">
        <v>318.26</v>
      </c>
    </row>
    <row r="22" spans="2:6" x14ac:dyDescent="0.3">
      <c r="B22" s="5">
        <v>43769</v>
      </c>
      <c r="C22" t="s">
        <v>61</v>
      </c>
      <c r="D22" t="s">
        <v>24</v>
      </c>
      <c r="E22">
        <v>116926</v>
      </c>
      <c r="F22">
        <v>317.99</v>
      </c>
    </row>
    <row r="23" spans="2:6" x14ac:dyDescent="0.3">
      <c r="B23" s="5">
        <v>43769</v>
      </c>
      <c r="C23" t="s">
        <v>76</v>
      </c>
      <c r="D23" t="s">
        <v>62</v>
      </c>
      <c r="E23">
        <v>108678</v>
      </c>
      <c r="F23">
        <v>774.05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54EB3A-2500-4A48-86AD-C264035A3144}">
  <sheetPr codeName="Sheet15">
    <tabColor rgb="FF0000FF"/>
  </sheetPr>
  <dimension ref="B2:F15"/>
  <sheetViews>
    <sheetView workbookViewId="0">
      <selection activeCell="B5" sqref="B5"/>
    </sheetView>
  </sheetViews>
  <sheetFormatPr defaultRowHeight="14.4" x14ac:dyDescent="0.3"/>
  <cols>
    <col min="2" max="2" width="13.5546875" bestFit="1" customWidth="1"/>
    <col min="3" max="3" width="40.109375" bestFit="1" customWidth="1"/>
    <col min="4" max="4" width="21.109375" bestFit="1" customWidth="1"/>
    <col min="5" max="5" width="17.33203125" customWidth="1"/>
    <col min="6" max="6" width="10.33203125" customWidth="1"/>
  </cols>
  <sheetData>
    <row r="2" spans="2:6" x14ac:dyDescent="0.3">
      <c r="B2" t="s">
        <v>32</v>
      </c>
      <c r="C2" t="str">
        <f>"Ex"&amp;TEXT(B6,"yyyymmm")</f>
        <v>Ex2019Nov</v>
      </c>
    </row>
    <row r="3" spans="2:6" x14ac:dyDescent="0.3">
      <c r="B3" t="s">
        <v>33</v>
      </c>
      <c r="C3" s="7" t="str" cm="1">
        <f t="array" aca="1" ref="C3" ca="1">REPLACE(CELL("filename",A1),1,SEARCH("]",CELL("filename",A1)),"")</f>
        <v>19(11)</v>
      </c>
    </row>
    <row r="5" spans="2:6" x14ac:dyDescent="0.3">
      <c r="B5" s="6" t="s">
        <v>7</v>
      </c>
      <c r="C5" s="6" t="s">
        <v>8</v>
      </c>
      <c r="D5" s="6" t="s">
        <v>9</v>
      </c>
      <c r="E5" s="6" t="s">
        <v>10</v>
      </c>
      <c r="F5" s="6" t="s">
        <v>11</v>
      </c>
    </row>
    <row r="6" spans="2:6" x14ac:dyDescent="0.3">
      <c r="B6" s="5">
        <v>43771</v>
      </c>
      <c r="C6" t="s">
        <v>18</v>
      </c>
      <c r="D6" t="s">
        <v>53</v>
      </c>
      <c r="E6">
        <v>105893</v>
      </c>
      <c r="F6">
        <v>39.25</v>
      </c>
    </row>
    <row r="7" spans="2:6" x14ac:dyDescent="0.3">
      <c r="B7" s="5">
        <v>43773</v>
      </c>
      <c r="C7" t="s">
        <v>27</v>
      </c>
      <c r="D7" t="s">
        <v>23</v>
      </c>
      <c r="E7">
        <v>58501</v>
      </c>
      <c r="F7">
        <v>104.25</v>
      </c>
    </row>
    <row r="8" spans="2:6" x14ac:dyDescent="0.3">
      <c r="B8" s="5">
        <v>43773</v>
      </c>
      <c r="C8" t="s">
        <v>27</v>
      </c>
      <c r="D8" t="s">
        <v>36</v>
      </c>
      <c r="E8">
        <v>38198</v>
      </c>
      <c r="F8">
        <v>141.13</v>
      </c>
    </row>
    <row r="9" spans="2:6" x14ac:dyDescent="0.3">
      <c r="B9" s="5">
        <v>43776</v>
      </c>
      <c r="C9" t="s">
        <v>27</v>
      </c>
      <c r="D9" t="s">
        <v>66</v>
      </c>
      <c r="E9">
        <v>82767</v>
      </c>
      <c r="F9">
        <v>70.39</v>
      </c>
    </row>
    <row r="10" spans="2:6" x14ac:dyDescent="0.3">
      <c r="B10" s="5">
        <v>43776</v>
      </c>
      <c r="C10" t="s">
        <v>18</v>
      </c>
      <c r="D10" t="s">
        <v>30</v>
      </c>
      <c r="E10">
        <v>50155</v>
      </c>
      <c r="F10">
        <v>105.85</v>
      </c>
    </row>
    <row r="11" spans="2:6" x14ac:dyDescent="0.3">
      <c r="B11" s="5">
        <v>43780</v>
      </c>
      <c r="C11" t="s">
        <v>22</v>
      </c>
      <c r="D11" t="s">
        <v>46</v>
      </c>
      <c r="E11">
        <v>50788</v>
      </c>
      <c r="F11">
        <v>34.93</v>
      </c>
    </row>
    <row r="12" spans="2:6" x14ac:dyDescent="0.3">
      <c r="B12" s="5">
        <v>43783</v>
      </c>
      <c r="C12" t="s">
        <v>27</v>
      </c>
      <c r="D12" t="s">
        <v>37</v>
      </c>
      <c r="E12">
        <v>120247</v>
      </c>
      <c r="F12">
        <v>49.86</v>
      </c>
    </row>
    <row r="13" spans="2:6" x14ac:dyDescent="0.3">
      <c r="B13" s="5">
        <v>43790</v>
      </c>
      <c r="C13" t="s">
        <v>18</v>
      </c>
      <c r="D13" t="s">
        <v>31</v>
      </c>
      <c r="E13">
        <v>41103</v>
      </c>
      <c r="F13">
        <v>124.41</v>
      </c>
    </row>
    <row r="14" spans="2:6" x14ac:dyDescent="0.3">
      <c r="B14" s="5">
        <v>43794</v>
      </c>
      <c r="C14" t="s">
        <v>16</v>
      </c>
      <c r="D14" t="s">
        <v>43</v>
      </c>
      <c r="E14">
        <v>120186</v>
      </c>
      <c r="F14">
        <v>84.56</v>
      </c>
    </row>
    <row r="15" spans="2:6" x14ac:dyDescent="0.3">
      <c r="B15" s="5">
        <v>43799</v>
      </c>
      <c r="C15" t="s">
        <v>18</v>
      </c>
      <c r="D15" t="s">
        <v>37</v>
      </c>
      <c r="E15">
        <v>120247</v>
      </c>
      <c r="F15">
        <v>56.72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68CE8D-8AF0-4503-A771-5397C51BC6A1}">
  <sheetPr codeName="Sheet16">
    <tabColor rgb="FF0000FF"/>
  </sheetPr>
  <dimension ref="B2:F17"/>
  <sheetViews>
    <sheetView workbookViewId="0">
      <selection activeCell="B5" sqref="B5"/>
    </sheetView>
  </sheetViews>
  <sheetFormatPr defaultRowHeight="14.4" x14ac:dyDescent="0.3"/>
  <cols>
    <col min="2" max="2" width="13.5546875" bestFit="1" customWidth="1"/>
    <col min="3" max="3" width="34.109375" customWidth="1"/>
    <col min="4" max="4" width="21.109375" bestFit="1" customWidth="1"/>
    <col min="5" max="5" width="17.33203125" customWidth="1"/>
    <col min="6" max="6" width="10.33203125" customWidth="1"/>
  </cols>
  <sheetData>
    <row r="2" spans="2:6" x14ac:dyDescent="0.3">
      <c r="B2" t="s">
        <v>32</v>
      </c>
      <c r="C2" t="str">
        <f>"Ex"&amp;TEXT(B6,"yyyymmm")</f>
        <v>Ex2019Dec</v>
      </c>
    </row>
    <row r="3" spans="2:6" x14ac:dyDescent="0.3">
      <c r="B3" t="s">
        <v>33</v>
      </c>
      <c r="C3" s="7" t="str" cm="1">
        <f t="array" aca="1" ref="C3" ca="1">REPLACE(CELL("filename",A1),1,SEARCH("]",CELL("filename",A1)),"")</f>
        <v>19(12)</v>
      </c>
    </row>
    <row r="5" spans="2:6" x14ac:dyDescent="0.3">
      <c r="B5" s="6" t="s">
        <v>7</v>
      </c>
      <c r="C5" s="6" t="s">
        <v>8</v>
      </c>
      <c r="D5" s="6" t="s">
        <v>9</v>
      </c>
      <c r="E5" s="6" t="s">
        <v>10</v>
      </c>
      <c r="F5" s="6" t="s">
        <v>11</v>
      </c>
    </row>
    <row r="6" spans="2:6" x14ac:dyDescent="0.3">
      <c r="B6" s="5">
        <v>43802</v>
      </c>
      <c r="C6" t="s">
        <v>75</v>
      </c>
      <c r="D6" t="s">
        <v>15</v>
      </c>
      <c r="E6">
        <v>47991</v>
      </c>
      <c r="F6">
        <v>11.48</v>
      </c>
    </row>
    <row r="7" spans="2:6" x14ac:dyDescent="0.3">
      <c r="B7" s="5">
        <v>43805</v>
      </c>
      <c r="C7" t="s">
        <v>54</v>
      </c>
      <c r="D7" t="s">
        <v>63</v>
      </c>
      <c r="E7">
        <v>110263</v>
      </c>
      <c r="F7">
        <v>63.22</v>
      </c>
    </row>
    <row r="8" spans="2:6" x14ac:dyDescent="0.3">
      <c r="B8" s="5">
        <v>43805</v>
      </c>
      <c r="C8" t="s">
        <v>61</v>
      </c>
      <c r="D8" t="s">
        <v>23</v>
      </c>
      <c r="E8">
        <v>60520</v>
      </c>
      <c r="F8">
        <v>32.409999999999997</v>
      </c>
    </row>
    <row r="9" spans="2:6" x14ac:dyDescent="0.3">
      <c r="B9" s="5">
        <v>43808</v>
      </c>
      <c r="C9" t="s">
        <v>75</v>
      </c>
      <c r="D9" t="s">
        <v>15</v>
      </c>
      <c r="E9">
        <v>47991</v>
      </c>
      <c r="F9">
        <v>58.35</v>
      </c>
    </row>
    <row r="10" spans="2:6" x14ac:dyDescent="0.3">
      <c r="B10" s="5">
        <v>43811</v>
      </c>
      <c r="C10" t="s">
        <v>61</v>
      </c>
      <c r="D10" t="s">
        <v>30</v>
      </c>
      <c r="E10">
        <v>52174</v>
      </c>
      <c r="F10">
        <v>118.77</v>
      </c>
    </row>
    <row r="11" spans="2:6" x14ac:dyDescent="0.3">
      <c r="B11" s="5">
        <v>43812</v>
      </c>
      <c r="C11" t="s">
        <v>55</v>
      </c>
      <c r="D11" t="s">
        <v>37</v>
      </c>
      <c r="E11">
        <v>122266</v>
      </c>
      <c r="F11">
        <v>18.809999999999999</v>
      </c>
    </row>
    <row r="12" spans="2:6" x14ac:dyDescent="0.3">
      <c r="B12" s="5">
        <v>43815</v>
      </c>
      <c r="C12" t="s">
        <v>75</v>
      </c>
      <c r="D12" t="s">
        <v>17</v>
      </c>
      <c r="E12">
        <v>78927</v>
      </c>
      <c r="F12">
        <v>80.400000000000006</v>
      </c>
    </row>
    <row r="13" spans="2:6" x14ac:dyDescent="0.3">
      <c r="B13" s="5">
        <v>43818</v>
      </c>
      <c r="C13" t="s">
        <v>54</v>
      </c>
      <c r="D13" t="s">
        <v>47</v>
      </c>
      <c r="E13">
        <v>41874</v>
      </c>
      <c r="F13">
        <v>108.27</v>
      </c>
    </row>
    <row r="14" spans="2:6" x14ac:dyDescent="0.3">
      <c r="B14" s="5">
        <v>43821</v>
      </c>
      <c r="C14" t="s">
        <v>54</v>
      </c>
      <c r="D14" t="s">
        <v>28</v>
      </c>
      <c r="E14">
        <v>70686</v>
      </c>
      <c r="F14">
        <v>34.270000000000003</v>
      </c>
    </row>
    <row r="15" spans="2:6" x14ac:dyDescent="0.3">
      <c r="B15" s="5">
        <v>43823</v>
      </c>
      <c r="C15" t="s">
        <v>58</v>
      </c>
      <c r="D15" t="s">
        <v>51</v>
      </c>
      <c r="E15">
        <v>86992</v>
      </c>
      <c r="F15">
        <v>29.89</v>
      </c>
    </row>
    <row r="16" spans="2:6" x14ac:dyDescent="0.3">
      <c r="B16" s="5">
        <v>43825</v>
      </c>
      <c r="C16" t="s">
        <v>76</v>
      </c>
      <c r="D16" t="s">
        <v>45</v>
      </c>
      <c r="E16">
        <v>97590</v>
      </c>
      <c r="F16">
        <v>84.16</v>
      </c>
    </row>
    <row r="17" spans="2:6" x14ac:dyDescent="0.3">
      <c r="B17" s="5">
        <v>43829</v>
      </c>
      <c r="C17" t="s">
        <v>58</v>
      </c>
      <c r="D17" t="s">
        <v>46</v>
      </c>
      <c r="E17">
        <v>52807</v>
      </c>
      <c r="F17">
        <v>47.99</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49340F-E733-4E5C-B3F9-BFCD086212C7}">
  <sheetPr codeName="Sheet17">
    <tabColor rgb="FF0000FF"/>
  </sheetPr>
  <dimension ref="B2:F15"/>
  <sheetViews>
    <sheetView workbookViewId="0">
      <selection activeCell="B5" sqref="B5"/>
    </sheetView>
  </sheetViews>
  <sheetFormatPr defaultRowHeight="14.4" x14ac:dyDescent="0.3"/>
  <cols>
    <col min="2" max="2" width="13.5546875" bestFit="1" customWidth="1"/>
    <col min="3" max="3" width="34.109375" customWidth="1"/>
    <col min="4" max="4" width="22.88671875" bestFit="1" customWidth="1"/>
    <col min="5" max="5" width="17.33203125" customWidth="1"/>
    <col min="6" max="6" width="10.33203125" customWidth="1"/>
  </cols>
  <sheetData>
    <row r="2" spans="2:6" x14ac:dyDescent="0.3">
      <c r="B2" t="s">
        <v>32</v>
      </c>
      <c r="C2" t="str">
        <f>"Ex"&amp;TEXT(B6,"yyyymmm")</f>
        <v>Ex2020Jan</v>
      </c>
    </row>
    <row r="3" spans="2:6" x14ac:dyDescent="0.3">
      <c r="B3" t="s">
        <v>33</v>
      </c>
      <c r="C3" s="7" t="str" cm="1">
        <f t="array" aca="1" ref="C3" ca="1">REPLACE(CELL("filename",A1),1,SEARCH("]",CELL("filename",A1)),"")</f>
        <v>20(1)</v>
      </c>
    </row>
    <row r="5" spans="2:6" x14ac:dyDescent="0.3">
      <c r="B5" s="6" t="s">
        <v>7</v>
      </c>
      <c r="C5" s="6" t="s">
        <v>8</v>
      </c>
      <c r="D5" s="6" t="s">
        <v>9</v>
      </c>
      <c r="E5" s="6" t="s">
        <v>10</v>
      </c>
      <c r="F5" s="6" t="s">
        <v>11</v>
      </c>
    </row>
    <row r="6" spans="2:6" x14ac:dyDescent="0.3">
      <c r="B6" s="5">
        <v>43834</v>
      </c>
      <c r="C6" t="s">
        <v>74</v>
      </c>
      <c r="D6" t="s">
        <v>15</v>
      </c>
      <c r="E6">
        <v>25783</v>
      </c>
      <c r="F6">
        <v>49.98</v>
      </c>
    </row>
    <row r="7" spans="2:6" x14ac:dyDescent="0.3">
      <c r="B7" s="5">
        <v>43836</v>
      </c>
      <c r="C7" t="s">
        <v>68</v>
      </c>
      <c r="D7" t="s">
        <v>29</v>
      </c>
      <c r="E7">
        <v>100693</v>
      </c>
      <c r="F7">
        <v>248.42</v>
      </c>
    </row>
    <row r="8" spans="2:6" x14ac:dyDescent="0.3">
      <c r="B8" s="5">
        <v>43838</v>
      </c>
      <c r="C8" t="s">
        <v>74</v>
      </c>
      <c r="D8" t="s">
        <v>65</v>
      </c>
      <c r="E8">
        <v>2403</v>
      </c>
      <c r="F8">
        <v>246.6</v>
      </c>
    </row>
    <row r="9" spans="2:6" x14ac:dyDescent="0.3">
      <c r="B9" s="5">
        <v>43840</v>
      </c>
      <c r="C9" t="s">
        <v>67</v>
      </c>
      <c r="D9" t="s">
        <v>48</v>
      </c>
      <c r="E9">
        <v>27055</v>
      </c>
      <c r="F9">
        <v>31.25</v>
      </c>
    </row>
    <row r="10" spans="2:6" x14ac:dyDescent="0.3">
      <c r="B10" s="5">
        <v>43844</v>
      </c>
      <c r="C10" t="s">
        <v>69</v>
      </c>
      <c r="D10" t="s">
        <v>39</v>
      </c>
      <c r="E10">
        <v>72594</v>
      </c>
      <c r="F10">
        <v>50.47</v>
      </c>
    </row>
    <row r="11" spans="2:6" x14ac:dyDescent="0.3">
      <c r="B11" s="5">
        <v>43844</v>
      </c>
      <c r="C11" t="s">
        <v>68</v>
      </c>
      <c r="D11" t="s">
        <v>37</v>
      </c>
      <c r="E11">
        <v>100058</v>
      </c>
      <c r="F11">
        <v>120.71</v>
      </c>
    </row>
    <row r="12" spans="2:6" x14ac:dyDescent="0.3">
      <c r="B12" s="5">
        <v>43847</v>
      </c>
      <c r="C12" t="s">
        <v>67</v>
      </c>
      <c r="D12" t="s">
        <v>49</v>
      </c>
      <c r="E12">
        <v>19808</v>
      </c>
      <c r="F12">
        <v>136.36000000000001</v>
      </c>
    </row>
    <row r="13" spans="2:6" x14ac:dyDescent="0.3">
      <c r="B13" s="5">
        <v>43847</v>
      </c>
      <c r="C13" t="s">
        <v>74</v>
      </c>
      <c r="D13" t="s">
        <v>24</v>
      </c>
      <c r="E13">
        <v>98756</v>
      </c>
      <c r="F13">
        <v>95.54</v>
      </c>
    </row>
    <row r="14" spans="2:6" x14ac:dyDescent="0.3">
      <c r="B14" s="5">
        <v>43858</v>
      </c>
      <c r="C14" t="s">
        <v>71</v>
      </c>
      <c r="D14" t="s">
        <v>31</v>
      </c>
      <c r="E14">
        <v>20914</v>
      </c>
      <c r="F14">
        <v>253.97</v>
      </c>
    </row>
    <row r="15" spans="2:6" x14ac:dyDescent="0.3">
      <c r="B15" s="5">
        <v>43859</v>
      </c>
      <c r="C15" t="s">
        <v>72</v>
      </c>
      <c r="D15" t="s">
        <v>23</v>
      </c>
      <c r="E15">
        <v>38312</v>
      </c>
      <c r="F15">
        <v>67.099999999999994</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D0991-E234-45C9-869C-C34928F2EB82}">
  <sheetPr codeName="Sheet18">
    <tabColor rgb="FF0000FF"/>
  </sheetPr>
  <dimension ref="B2:F21"/>
  <sheetViews>
    <sheetView workbookViewId="0">
      <selection activeCell="B5" sqref="B5"/>
    </sheetView>
  </sheetViews>
  <sheetFormatPr defaultRowHeight="14.4" x14ac:dyDescent="0.3"/>
  <cols>
    <col min="2" max="2" width="13.5546875" bestFit="1" customWidth="1"/>
    <col min="3" max="3" width="39.88671875" bestFit="1" customWidth="1"/>
    <col min="4" max="4" width="22.88671875" bestFit="1" customWidth="1"/>
    <col min="5" max="5" width="17.33203125" customWidth="1"/>
    <col min="6" max="6" width="10.33203125" customWidth="1"/>
  </cols>
  <sheetData>
    <row r="2" spans="2:6" x14ac:dyDescent="0.3">
      <c r="B2" t="s">
        <v>32</v>
      </c>
      <c r="C2" t="str">
        <f>"Ex"&amp;TEXT(B6,"yyyymmm")</f>
        <v>Ex2020Feb</v>
      </c>
    </row>
    <row r="3" spans="2:6" x14ac:dyDescent="0.3">
      <c r="B3" t="s">
        <v>33</v>
      </c>
      <c r="C3" s="7" t="str" cm="1">
        <f t="array" aca="1" ref="C3" ca="1">REPLACE(CELL("filename",A1),1,SEARCH("]",CELL("filename",A1)),"")</f>
        <v>20(2)</v>
      </c>
    </row>
    <row r="5" spans="2:6" x14ac:dyDescent="0.3">
      <c r="B5" s="6" t="s">
        <v>7</v>
      </c>
      <c r="C5" s="6" t="s">
        <v>8</v>
      </c>
      <c r="D5" s="6" t="s">
        <v>9</v>
      </c>
      <c r="E5" s="6" t="s">
        <v>10</v>
      </c>
      <c r="F5" s="6" t="s">
        <v>11</v>
      </c>
    </row>
    <row r="6" spans="2:6" x14ac:dyDescent="0.3">
      <c r="B6" s="5">
        <v>43864</v>
      </c>
      <c r="C6" t="s">
        <v>20</v>
      </c>
      <c r="D6" t="s">
        <v>43</v>
      </c>
      <c r="E6">
        <v>102017</v>
      </c>
      <c r="F6">
        <v>38.75</v>
      </c>
    </row>
    <row r="7" spans="2:6" x14ac:dyDescent="0.3">
      <c r="B7" s="5">
        <v>43864</v>
      </c>
      <c r="C7" t="s">
        <v>12</v>
      </c>
      <c r="D7" t="s">
        <v>31</v>
      </c>
      <c r="E7">
        <v>22934</v>
      </c>
      <c r="F7">
        <v>72.709999999999994</v>
      </c>
    </row>
    <row r="8" spans="2:6" x14ac:dyDescent="0.3">
      <c r="B8" s="5">
        <v>43866</v>
      </c>
      <c r="C8" t="s">
        <v>12</v>
      </c>
      <c r="D8" t="s">
        <v>37</v>
      </c>
      <c r="E8">
        <v>102078</v>
      </c>
      <c r="F8">
        <v>20.49</v>
      </c>
    </row>
    <row r="9" spans="2:6" x14ac:dyDescent="0.3">
      <c r="B9" s="5">
        <v>43870</v>
      </c>
      <c r="C9" t="s">
        <v>18</v>
      </c>
      <c r="D9" t="s">
        <v>19</v>
      </c>
      <c r="E9">
        <v>15299</v>
      </c>
      <c r="F9">
        <v>90.29</v>
      </c>
    </row>
    <row r="10" spans="2:6" x14ac:dyDescent="0.3">
      <c r="B10" s="5">
        <v>43871</v>
      </c>
      <c r="C10" t="s">
        <v>27</v>
      </c>
      <c r="D10" t="s">
        <v>19</v>
      </c>
      <c r="E10">
        <v>15299</v>
      </c>
      <c r="F10">
        <v>6.38</v>
      </c>
    </row>
    <row r="11" spans="2:6" x14ac:dyDescent="0.3">
      <c r="B11" s="5">
        <v>43872</v>
      </c>
      <c r="C11" t="s">
        <v>14</v>
      </c>
      <c r="D11" t="s">
        <v>19</v>
      </c>
      <c r="E11">
        <v>15299</v>
      </c>
      <c r="F11">
        <v>42.06</v>
      </c>
    </row>
    <row r="12" spans="2:6" x14ac:dyDescent="0.3">
      <c r="B12" s="5">
        <v>43872</v>
      </c>
      <c r="C12" t="s">
        <v>22</v>
      </c>
      <c r="D12" t="s">
        <v>19</v>
      </c>
      <c r="E12">
        <v>15299</v>
      </c>
      <c r="F12">
        <v>58.38</v>
      </c>
    </row>
    <row r="13" spans="2:6" x14ac:dyDescent="0.3">
      <c r="B13" s="5">
        <v>43872</v>
      </c>
      <c r="C13" t="s">
        <v>14</v>
      </c>
      <c r="D13" t="s">
        <v>28</v>
      </c>
      <c r="E13">
        <v>50498</v>
      </c>
      <c r="F13">
        <v>46.37</v>
      </c>
    </row>
    <row r="14" spans="2:6" x14ac:dyDescent="0.3">
      <c r="B14" s="5">
        <v>43874</v>
      </c>
      <c r="C14" t="s">
        <v>22</v>
      </c>
      <c r="D14" t="s">
        <v>43</v>
      </c>
      <c r="E14">
        <v>102017</v>
      </c>
      <c r="F14">
        <v>46.36</v>
      </c>
    </row>
    <row r="15" spans="2:6" x14ac:dyDescent="0.3">
      <c r="B15" s="5">
        <v>43879</v>
      </c>
      <c r="C15" t="s">
        <v>22</v>
      </c>
      <c r="D15" t="s">
        <v>53</v>
      </c>
      <c r="E15">
        <v>87724</v>
      </c>
      <c r="F15">
        <v>68.05</v>
      </c>
    </row>
    <row r="16" spans="2:6" x14ac:dyDescent="0.3">
      <c r="B16" s="5">
        <v>43881</v>
      </c>
      <c r="C16" t="s">
        <v>27</v>
      </c>
      <c r="D16" t="s">
        <v>24</v>
      </c>
      <c r="E16">
        <v>100776</v>
      </c>
      <c r="F16">
        <v>29.07</v>
      </c>
    </row>
    <row r="17" spans="2:6" x14ac:dyDescent="0.3">
      <c r="B17" s="5">
        <v>43885</v>
      </c>
      <c r="C17" t="s">
        <v>22</v>
      </c>
      <c r="D17" t="s">
        <v>65</v>
      </c>
      <c r="E17">
        <v>4423</v>
      </c>
      <c r="F17">
        <v>17.829999999999998</v>
      </c>
    </row>
    <row r="18" spans="2:6" x14ac:dyDescent="0.3">
      <c r="B18" s="5">
        <v>43887</v>
      </c>
      <c r="C18" t="s">
        <v>27</v>
      </c>
      <c r="D18" t="s">
        <v>39</v>
      </c>
      <c r="E18">
        <v>74614</v>
      </c>
      <c r="F18">
        <v>88.75</v>
      </c>
    </row>
    <row r="19" spans="2:6" x14ac:dyDescent="0.3">
      <c r="B19" s="5">
        <v>43887</v>
      </c>
      <c r="C19" t="s">
        <v>18</v>
      </c>
      <c r="D19" t="s">
        <v>66</v>
      </c>
      <c r="E19">
        <v>64598</v>
      </c>
      <c r="F19">
        <v>95.94</v>
      </c>
    </row>
    <row r="20" spans="2:6" x14ac:dyDescent="0.3">
      <c r="B20" s="5">
        <v>43888</v>
      </c>
      <c r="C20" t="s">
        <v>27</v>
      </c>
      <c r="D20" t="s">
        <v>19</v>
      </c>
      <c r="E20">
        <v>15299</v>
      </c>
      <c r="F20">
        <v>57.72</v>
      </c>
    </row>
    <row r="21" spans="2:6" x14ac:dyDescent="0.3">
      <c r="B21" s="5">
        <v>43890</v>
      </c>
      <c r="C21" t="s">
        <v>18</v>
      </c>
      <c r="D21" t="s">
        <v>19</v>
      </c>
      <c r="E21">
        <v>15299</v>
      </c>
      <c r="F21">
        <v>84.28</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084D2-0579-4CE3-91FB-08F1C8878FB3}">
  <sheetPr codeName="Sheet19">
    <tabColor rgb="FF0000FF"/>
  </sheetPr>
  <dimension ref="B2:F31"/>
  <sheetViews>
    <sheetView workbookViewId="0">
      <selection activeCell="C23" sqref="C23"/>
    </sheetView>
  </sheetViews>
  <sheetFormatPr defaultRowHeight="14.4" x14ac:dyDescent="0.3"/>
  <cols>
    <col min="2" max="2" width="13.5546875" bestFit="1" customWidth="1"/>
    <col min="3" max="3" width="34.109375" customWidth="1"/>
    <col min="4" max="4" width="20.109375" bestFit="1" customWidth="1"/>
    <col min="5" max="5" width="17.33203125" customWidth="1"/>
    <col min="6" max="6" width="10.33203125" customWidth="1"/>
  </cols>
  <sheetData>
    <row r="2" spans="2:6" x14ac:dyDescent="0.3">
      <c r="B2" t="s">
        <v>32</v>
      </c>
      <c r="C2" t="str">
        <f>"Ex"&amp;TEXT(B6,"yyyymmm")</f>
        <v>Ex2020Mar</v>
      </c>
    </row>
    <row r="3" spans="2:6" x14ac:dyDescent="0.3">
      <c r="B3" t="s">
        <v>33</v>
      </c>
      <c r="C3" s="7" t="str" cm="1">
        <f t="array" aca="1" ref="C3" ca="1">REPLACE(CELL("filename",A1),1,SEARCH("]",CELL("filename",A1)),"")</f>
        <v>20(3)</v>
      </c>
    </row>
    <row r="5" spans="2:6" x14ac:dyDescent="0.3">
      <c r="B5" s="6" t="s">
        <v>7</v>
      </c>
      <c r="C5" s="6" t="s">
        <v>8</v>
      </c>
      <c r="D5" s="6" t="s">
        <v>9</v>
      </c>
      <c r="E5" s="6" t="s">
        <v>10</v>
      </c>
      <c r="F5" s="6" t="s">
        <v>11</v>
      </c>
    </row>
    <row r="6" spans="2:6" x14ac:dyDescent="0.3">
      <c r="B6" s="5">
        <v>43895</v>
      </c>
      <c r="C6" t="s">
        <v>75</v>
      </c>
      <c r="D6" t="s">
        <v>63</v>
      </c>
      <c r="E6">
        <v>92095</v>
      </c>
      <c r="F6">
        <v>23.52</v>
      </c>
    </row>
    <row r="7" spans="2:6" x14ac:dyDescent="0.3">
      <c r="B7" s="5">
        <v>43899</v>
      </c>
      <c r="C7" t="s">
        <v>58</v>
      </c>
      <c r="D7" t="s">
        <v>56</v>
      </c>
      <c r="E7">
        <v>72115</v>
      </c>
      <c r="F7">
        <v>88.17</v>
      </c>
    </row>
    <row r="8" spans="2:6" x14ac:dyDescent="0.3">
      <c r="B8" s="5">
        <v>43899</v>
      </c>
      <c r="C8" t="s">
        <v>58</v>
      </c>
      <c r="D8" t="s">
        <v>19</v>
      </c>
      <c r="E8">
        <v>17319</v>
      </c>
      <c r="F8">
        <v>86.76</v>
      </c>
    </row>
    <row r="9" spans="2:6" x14ac:dyDescent="0.3">
      <c r="B9" s="5">
        <v>43902</v>
      </c>
      <c r="C9" t="s">
        <v>59</v>
      </c>
      <c r="D9" t="s">
        <v>51</v>
      </c>
      <c r="E9">
        <v>68824</v>
      </c>
      <c r="F9">
        <v>95.16</v>
      </c>
    </row>
    <row r="10" spans="2:6" x14ac:dyDescent="0.3">
      <c r="B10" s="5">
        <v>43902</v>
      </c>
      <c r="C10" t="s">
        <v>58</v>
      </c>
      <c r="D10" t="s">
        <v>41</v>
      </c>
      <c r="E10">
        <v>67635</v>
      </c>
      <c r="F10">
        <v>77.3</v>
      </c>
    </row>
    <row r="11" spans="2:6" x14ac:dyDescent="0.3">
      <c r="B11" s="5">
        <v>43903</v>
      </c>
      <c r="C11" t="s">
        <v>55</v>
      </c>
      <c r="D11" t="s">
        <v>60</v>
      </c>
      <c r="E11">
        <v>102694</v>
      </c>
      <c r="F11">
        <v>118.48</v>
      </c>
    </row>
    <row r="12" spans="2:6" x14ac:dyDescent="0.3">
      <c r="B12" s="5">
        <v>43905</v>
      </c>
      <c r="C12" t="s">
        <v>57</v>
      </c>
      <c r="D12" t="s">
        <v>21</v>
      </c>
      <c r="E12">
        <v>32700</v>
      </c>
      <c r="F12">
        <v>3.93</v>
      </c>
    </row>
    <row r="13" spans="2:6" x14ac:dyDescent="0.3">
      <c r="B13" s="5">
        <v>43906</v>
      </c>
      <c r="C13" t="s">
        <v>76</v>
      </c>
      <c r="D13" t="s">
        <v>43</v>
      </c>
      <c r="E13">
        <v>104037</v>
      </c>
      <c r="F13">
        <v>89.77</v>
      </c>
    </row>
    <row r="14" spans="2:6" x14ac:dyDescent="0.3">
      <c r="B14" s="5">
        <v>43907</v>
      </c>
      <c r="C14" t="s">
        <v>58</v>
      </c>
      <c r="D14" t="s">
        <v>23</v>
      </c>
      <c r="E14">
        <v>42352</v>
      </c>
      <c r="F14">
        <v>88.91</v>
      </c>
    </row>
    <row r="15" spans="2:6" x14ac:dyDescent="0.3">
      <c r="B15" s="5">
        <v>43907</v>
      </c>
      <c r="C15" t="s">
        <v>57</v>
      </c>
      <c r="D15" t="s">
        <v>53</v>
      </c>
      <c r="E15">
        <v>89744</v>
      </c>
      <c r="F15">
        <v>107.68</v>
      </c>
    </row>
    <row r="16" spans="2:6" x14ac:dyDescent="0.3">
      <c r="B16" s="5">
        <v>43908</v>
      </c>
      <c r="C16" t="s">
        <v>55</v>
      </c>
      <c r="D16" t="s">
        <v>43</v>
      </c>
      <c r="E16">
        <v>104037</v>
      </c>
      <c r="F16">
        <v>86.88</v>
      </c>
    </row>
    <row r="17" spans="2:6" x14ac:dyDescent="0.3">
      <c r="B17" s="5">
        <v>43908</v>
      </c>
      <c r="C17" t="s">
        <v>76</v>
      </c>
      <c r="D17" t="s">
        <v>64</v>
      </c>
      <c r="E17">
        <v>9626</v>
      </c>
      <c r="F17">
        <v>109.9</v>
      </c>
    </row>
    <row r="18" spans="2:6" x14ac:dyDescent="0.3">
      <c r="B18" s="5">
        <v>43909</v>
      </c>
      <c r="C18" t="s">
        <v>54</v>
      </c>
      <c r="D18" t="s">
        <v>15</v>
      </c>
      <c r="E18">
        <v>29823</v>
      </c>
      <c r="F18">
        <v>50.44</v>
      </c>
    </row>
    <row r="19" spans="2:6" x14ac:dyDescent="0.3">
      <c r="B19" s="5">
        <v>43910</v>
      </c>
      <c r="C19" t="s">
        <v>75</v>
      </c>
      <c r="D19" t="s">
        <v>24</v>
      </c>
      <c r="E19">
        <v>102796</v>
      </c>
      <c r="F19">
        <v>13.94</v>
      </c>
    </row>
    <row r="20" spans="2:6" x14ac:dyDescent="0.3">
      <c r="B20" s="5">
        <v>43913</v>
      </c>
      <c r="C20" t="s">
        <v>54</v>
      </c>
      <c r="D20" t="s">
        <v>28</v>
      </c>
      <c r="E20">
        <v>52518</v>
      </c>
      <c r="F20">
        <v>99.49</v>
      </c>
    </row>
    <row r="21" spans="2:6" x14ac:dyDescent="0.3">
      <c r="B21" s="5">
        <v>43914</v>
      </c>
      <c r="C21" t="s">
        <v>59</v>
      </c>
      <c r="D21" t="s">
        <v>63</v>
      </c>
      <c r="E21">
        <v>92095</v>
      </c>
      <c r="F21">
        <v>18.2</v>
      </c>
    </row>
    <row r="22" spans="2:6" x14ac:dyDescent="0.3">
      <c r="B22" s="5">
        <v>43915</v>
      </c>
      <c r="C22" t="s">
        <v>54</v>
      </c>
      <c r="D22" t="s">
        <v>21</v>
      </c>
      <c r="E22">
        <v>32700</v>
      </c>
      <c r="F22">
        <v>38.51</v>
      </c>
    </row>
    <row r="23" spans="2:6" x14ac:dyDescent="0.3">
      <c r="B23" s="5">
        <v>43915</v>
      </c>
      <c r="C23" t="s">
        <v>76</v>
      </c>
      <c r="D23" t="s">
        <v>60</v>
      </c>
      <c r="E23">
        <v>102694</v>
      </c>
      <c r="F23">
        <v>42.62</v>
      </c>
    </row>
    <row r="24" spans="2:6" x14ac:dyDescent="0.3">
      <c r="B24" s="5">
        <v>43915</v>
      </c>
      <c r="C24" t="s">
        <v>59</v>
      </c>
      <c r="D24" t="s">
        <v>31</v>
      </c>
      <c r="E24">
        <v>24954</v>
      </c>
      <c r="F24">
        <v>15.73</v>
      </c>
    </row>
    <row r="25" spans="2:6" x14ac:dyDescent="0.3">
      <c r="B25" s="5">
        <v>43916</v>
      </c>
      <c r="C25" t="s">
        <v>57</v>
      </c>
      <c r="D25" t="s">
        <v>17</v>
      </c>
      <c r="E25">
        <v>60759</v>
      </c>
      <c r="F25">
        <v>114.43</v>
      </c>
    </row>
    <row r="26" spans="2:6" x14ac:dyDescent="0.3">
      <c r="B26" s="5">
        <v>43916</v>
      </c>
      <c r="C26" t="s">
        <v>54</v>
      </c>
      <c r="D26" t="s">
        <v>26</v>
      </c>
      <c r="E26">
        <v>47861</v>
      </c>
      <c r="F26">
        <v>33.590000000000003</v>
      </c>
    </row>
    <row r="27" spans="2:6" x14ac:dyDescent="0.3">
      <c r="B27" s="5">
        <v>43916</v>
      </c>
      <c r="C27" t="s">
        <v>59</v>
      </c>
      <c r="D27" t="s">
        <v>43</v>
      </c>
      <c r="E27">
        <v>104037</v>
      </c>
      <c r="F27">
        <v>102.17</v>
      </c>
    </row>
    <row r="28" spans="2:6" x14ac:dyDescent="0.3">
      <c r="B28" s="5">
        <v>43917</v>
      </c>
      <c r="C28" t="s">
        <v>54</v>
      </c>
      <c r="D28" t="s">
        <v>29</v>
      </c>
      <c r="E28">
        <v>104733</v>
      </c>
      <c r="F28">
        <v>25.75</v>
      </c>
    </row>
    <row r="29" spans="2:6" x14ac:dyDescent="0.3">
      <c r="B29" s="5">
        <v>43917</v>
      </c>
      <c r="C29" t="s">
        <v>57</v>
      </c>
      <c r="D29" t="s">
        <v>17</v>
      </c>
      <c r="E29">
        <v>60759</v>
      </c>
      <c r="F29">
        <v>111.19</v>
      </c>
    </row>
    <row r="30" spans="2:6" x14ac:dyDescent="0.3">
      <c r="B30" s="5">
        <v>43918</v>
      </c>
      <c r="C30" t="s">
        <v>75</v>
      </c>
      <c r="D30" t="s">
        <v>21</v>
      </c>
      <c r="E30">
        <v>32700</v>
      </c>
      <c r="F30">
        <v>13.63</v>
      </c>
    </row>
    <row r="31" spans="2:6" x14ac:dyDescent="0.3">
      <c r="B31" s="5">
        <v>43920</v>
      </c>
      <c r="C31" t="s">
        <v>54</v>
      </c>
      <c r="D31" t="s">
        <v>28</v>
      </c>
      <c r="E31">
        <v>52518</v>
      </c>
      <c r="F31">
        <v>66.540000000000006</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FD9EC-912D-4190-B0CB-222295FEA5A0}">
  <sheetPr codeName="Sheet20">
    <tabColor rgb="FF0000FF"/>
  </sheetPr>
  <dimension ref="B2:F24"/>
  <sheetViews>
    <sheetView workbookViewId="0">
      <selection activeCell="B5" sqref="B5"/>
    </sheetView>
  </sheetViews>
  <sheetFormatPr defaultRowHeight="14.4" x14ac:dyDescent="0.3"/>
  <cols>
    <col min="2" max="2" width="13.5546875" bestFit="1" customWidth="1"/>
    <col min="3" max="3" width="41.109375" bestFit="1" customWidth="1"/>
    <col min="4" max="4" width="22.88671875" bestFit="1" customWidth="1"/>
    <col min="5" max="5" width="17.33203125" customWidth="1"/>
    <col min="6" max="6" width="10.33203125" customWidth="1"/>
  </cols>
  <sheetData>
    <row r="2" spans="2:6" x14ac:dyDescent="0.3">
      <c r="B2" t="s">
        <v>32</v>
      </c>
      <c r="C2" t="str">
        <f>"Ex"&amp;TEXT(B6,"yyyymmm")</f>
        <v>Ex2020Apr</v>
      </c>
    </row>
    <row r="3" spans="2:6" x14ac:dyDescent="0.3">
      <c r="B3" t="s">
        <v>33</v>
      </c>
      <c r="C3" s="7" t="str" cm="1">
        <f t="array" aca="1" ref="C3" ca="1">REPLACE(CELL("filename",A1),1,SEARCH("]",CELL("filename",A1)),"")</f>
        <v>20(4)</v>
      </c>
    </row>
    <row r="5" spans="2:6" x14ac:dyDescent="0.3">
      <c r="B5" s="6" t="s">
        <v>7</v>
      </c>
      <c r="C5" s="6" t="s">
        <v>8</v>
      </c>
      <c r="D5" s="6" t="s">
        <v>9</v>
      </c>
      <c r="E5" s="6" t="s">
        <v>10</v>
      </c>
      <c r="F5" s="6" t="s">
        <v>11</v>
      </c>
    </row>
    <row r="6" spans="2:6" x14ac:dyDescent="0.3">
      <c r="B6" s="5">
        <v>43922</v>
      </c>
      <c r="C6" t="s">
        <v>52</v>
      </c>
      <c r="D6" t="s">
        <v>19</v>
      </c>
      <c r="E6">
        <v>19339</v>
      </c>
      <c r="F6">
        <v>396.4</v>
      </c>
    </row>
    <row r="7" spans="2:6" x14ac:dyDescent="0.3">
      <c r="B7" s="5">
        <v>43922</v>
      </c>
      <c r="C7" t="s">
        <v>35</v>
      </c>
      <c r="D7" t="s">
        <v>53</v>
      </c>
      <c r="E7">
        <v>91764</v>
      </c>
      <c r="F7">
        <v>138.82</v>
      </c>
    </row>
    <row r="8" spans="2:6" x14ac:dyDescent="0.3">
      <c r="B8" s="5">
        <v>43923</v>
      </c>
      <c r="C8" t="s">
        <v>52</v>
      </c>
      <c r="D8" t="s">
        <v>31</v>
      </c>
      <c r="E8">
        <v>26974</v>
      </c>
      <c r="F8">
        <v>291.95</v>
      </c>
    </row>
    <row r="9" spans="2:6" x14ac:dyDescent="0.3">
      <c r="B9" s="5">
        <v>43924</v>
      </c>
      <c r="C9" t="s">
        <v>38</v>
      </c>
      <c r="D9" t="s">
        <v>21</v>
      </c>
      <c r="E9">
        <v>34720</v>
      </c>
      <c r="F9">
        <v>293.12</v>
      </c>
    </row>
    <row r="10" spans="2:6" x14ac:dyDescent="0.3">
      <c r="B10" s="5">
        <v>43926</v>
      </c>
      <c r="C10" t="s">
        <v>50</v>
      </c>
      <c r="D10" t="s">
        <v>43</v>
      </c>
      <c r="E10">
        <v>106057</v>
      </c>
      <c r="F10">
        <v>790.06</v>
      </c>
    </row>
    <row r="11" spans="2:6" x14ac:dyDescent="0.3">
      <c r="B11" s="5">
        <v>43927</v>
      </c>
      <c r="C11" t="s">
        <v>52</v>
      </c>
      <c r="D11" t="s">
        <v>24</v>
      </c>
      <c r="E11">
        <v>104816</v>
      </c>
      <c r="F11">
        <v>319.77999999999997</v>
      </c>
    </row>
    <row r="12" spans="2:6" x14ac:dyDescent="0.3">
      <c r="B12" s="5">
        <v>43932</v>
      </c>
      <c r="C12" t="s">
        <v>52</v>
      </c>
      <c r="D12" t="s">
        <v>43</v>
      </c>
      <c r="E12">
        <v>106057</v>
      </c>
      <c r="F12">
        <v>990.93</v>
      </c>
    </row>
    <row r="13" spans="2:6" x14ac:dyDescent="0.3">
      <c r="B13" s="5">
        <v>43933</v>
      </c>
      <c r="C13" t="s">
        <v>42</v>
      </c>
      <c r="D13" t="s">
        <v>53</v>
      </c>
      <c r="E13">
        <v>91764</v>
      </c>
      <c r="F13">
        <v>316.31</v>
      </c>
    </row>
    <row r="14" spans="2:6" x14ac:dyDescent="0.3">
      <c r="B14" s="5">
        <v>43934</v>
      </c>
      <c r="C14" t="s">
        <v>34</v>
      </c>
      <c r="D14" t="s">
        <v>29</v>
      </c>
      <c r="E14">
        <v>106753</v>
      </c>
      <c r="F14">
        <v>91.09</v>
      </c>
    </row>
    <row r="15" spans="2:6" x14ac:dyDescent="0.3">
      <c r="B15" s="5">
        <v>43935</v>
      </c>
      <c r="C15" t="s">
        <v>50</v>
      </c>
      <c r="D15" t="s">
        <v>29</v>
      </c>
      <c r="E15">
        <v>106753</v>
      </c>
      <c r="F15">
        <v>168</v>
      </c>
    </row>
    <row r="16" spans="2:6" x14ac:dyDescent="0.3">
      <c r="B16" s="5">
        <v>43935</v>
      </c>
      <c r="C16" t="s">
        <v>42</v>
      </c>
      <c r="D16" t="s">
        <v>36</v>
      </c>
      <c r="E16">
        <v>24069</v>
      </c>
      <c r="F16">
        <v>294.37</v>
      </c>
    </row>
    <row r="17" spans="2:6" x14ac:dyDescent="0.3">
      <c r="B17" s="5">
        <v>43938</v>
      </c>
      <c r="C17" t="s">
        <v>40</v>
      </c>
      <c r="D17" t="s">
        <v>39</v>
      </c>
      <c r="E17">
        <v>78654</v>
      </c>
      <c r="F17">
        <v>651.16</v>
      </c>
    </row>
    <row r="18" spans="2:6" x14ac:dyDescent="0.3">
      <c r="B18" s="5">
        <v>43939</v>
      </c>
      <c r="C18" t="s">
        <v>44</v>
      </c>
      <c r="D18" t="s">
        <v>65</v>
      </c>
      <c r="E18">
        <v>8463</v>
      </c>
      <c r="F18">
        <v>824.45</v>
      </c>
    </row>
    <row r="19" spans="2:6" x14ac:dyDescent="0.3">
      <c r="B19" s="5">
        <v>43941</v>
      </c>
      <c r="C19" t="s">
        <v>42</v>
      </c>
      <c r="D19" t="s">
        <v>56</v>
      </c>
      <c r="E19">
        <v>74135</v>
      </c>
      <c r="F19">
        <v>268.86</v>
      </c>
    </row>
    <row r="20" spans="2:6" x14ac:dyDescent="0.3">
      <c r="B20" s="5">
        <v>43941</v>
      </c>
      <c r="C20" t="s">
        <v>42</v>
      </c>
      <c r="D20" t="s">
        <v>30</v>
      </c>
      <c r="E20">
        <v>36026</v>
      </c>
      <c r="F20">
        <v>380.99</v>
      </c>
    </row>
    <row r="21" spans="2:6" x14ac:dyDescent="0.3">
      <c r="B21" s="5">
        <v>43941</v>
      </c>
      <c r="C21" t="s">
        <v>38</v>
      </c>
      <c r="D21" t="s">
        <v>39</v>
      </c>
      <c r="E21">
        <v>78654</v>
      </c>
      <c r="F21">
        <v>629.96</v>
      </c>
    </row>
    <row r="22" spans="2:6" x14ac:dyDescent="0.3">
      <c r="B22" s="5">
        <v>43943</v>
      </c>
      <c r="C22" t="s">
        <v>34</v>
      </c>
      <c r="D22" t="s">
        <v>28</v>
      </c>
      <c r="E22">
        <v>54538</v>
      </c>
      <c r="F22">
        <v>1028.68</v>
      </c>
    </row>
    <row r="23" spans="2:6" x14ac:dyDescent="0.3">
      <c r="B23" s="5">
        <v>43949</v>
      </c>
      <c r="C23" t="s">
        <v>34</v>
      </c>
      <c r="D23" t="s">
        <v>53</v>
      </c>
      <c r="E23">
        <v>91764</v>
      </c>
      <c r="F23">
        <v>420.52</v>
      </c>
    </row>
    <row r="24" spans="2:6" x14ac:dyDescent="0.3">
      <c r="B24" s="5">
        <v>43949</v>
      </c>
      <c r="C24" t="s">
        <v>44</v>
      </c>
      <c r="D24" t="s">
        <v>30</v>
      </c>
      <c r="E24">
        <v>36026</v>
      </c>
      <c r="F24">
        <v>1023.41</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6D180-8A8B-4E58-A9F0-227021870F90}">
  <sheetPr codeName="Sheet21">
    <tabColor rgb="FF0000FF"/>
  </sheetPr>
  <dimension ref="B2:F22"/>
  <sheetViews>
    <sheetView workbookViewId="0">
      <selection activeCell="B5" sqref="B5"/>
    </sheetView>
  </sheetViews>
  <sheetFormatPr defaultRowHeight="14.4" x14ac:dyDescent="0.3"/>
  <cols>
    <col min="2" max="2" width="13.5546875" bestFit="1" customWidth="1"/>
    <col min="3" max="3" width="34.109375" customWidth="1"/>
    <col min="4" max="4" width="21.109375" bestFit="1" customWidth="1"/>
    <col min="5" max="5" width="17.33203125" customWidth="1"/>
    <col min="6" max="6" width="10.33203125" customWidth="1"/>
  </cols>
  <sheetData>
    <row r="2" spans="2:6" x14ac:dyDescent="0.3">
      <c r="B2" t="s">
        <v>32</v>
      </c>
      <c r="C2" t="str">
        <f>"Ex"&amp;TEXT(B6,"yyyymmm")</f>
        <v>Ex2020May</v>
      </c>
    </row>
    <row r="3" spans="2:6" x14ac:dyDescent="0.3">
      <c r="B3" t="s">
        <v>33</v>
      </c>
      <c r="C3" s="7" t="str" cm="1">
        <f t="array" aca="1" ref="C3" ca="1">REPLACE(CELL("filename",A1),1,SEARCH("]",CELL("filename",A1)),"")</f>
        <v>20(5)</v>
      </c>
    </row>
    <row r="5" spans="2:6" x14ac:dyDescent="0.3">
      <c r="B5" s="6" t="s">
        <v>7</v>
      </c>
      <c r="C5" s="6" t="s">
        <v>8</v>
      </c>
      <c r="D5" s="6" t="s">
        <v>9</v>
      </c>
      <c r="E5" s="6" t="s">
        <v>10</v>
      </c>
      <c r="F5" s="6" t="s">
        <v>11</v>
      </c>
    </row>
    <row r="6" spans="2:6" x14ac:dyDescent="0.3">
      <c r="B6" s="5">
        <v>43952</v>
      </c>
      <c r="C6" t="s">
        <v>72</v>
      </c>
      <c r="D6" t="s">
        <v>60</v>
      </c>
      <c r="E6">
        <v>106734</v>
      </c>
      <c r="F6">
        <v>96.92</v>
      </c>
    </row>
    <row r="7" spans="2:6" x14ac:dyDescent="0.3">
      <c r="B7" s="5">
        <v>43955</v>
      </c>
      <c r="C7" t="s">
        <v>74</v>
      </c>
      <c r="D7" t="s">
        <v>31</v>
      </c>
      <c r="E7">
        <v>28994</v>
      </c>
      <c r="F7">
        <v>80.8</v>
      </c>
    </row>
    <row r="8" spans="2:6" x14ac:dyDescent="0.3">
      <c r="B8" s="5">
        <v>43955</v>
      </c>
      <c r="C8" t="s">
        <v>72</v>
      </c>
      <c r="D8" t="s">
        <v>13</v>
      </c>
      <c r="E8">
        <v>26912</v>
      </c>
      <c r="F8">
        <v>99.46</v>
      </c>
    </row>
    <row r="9" spans="2:6" x14ac:dyDescent="0.3">
      <c r="B9" s="5">
        <v>43956</v>
      </c>
      <c r="C9" t="s">
        <v>74</v>
      </c>
      <c r="D9" t="s">
        <v>31</v>
      </c>
      <c r="E9">
        <v>28994</v>
      </c>
      <c r="F9">
        <v>108.15</v>
      </c>
    </row>
    <row r="10" spans="2:6" x14ac:dyDescent="0.3">
      <c r="B10" s="5">
        <v>43957</v>
      </c>
      <c r="C10" t="s">
        <v>71</v>
      </c>
      <c r="D10" t="s">
        <v>19</v>
      </c>
      <c r="E10">
        <v>21359</v>
      </c>
      <c r="F10">
        <v>120.13</v>
      </c>
    </row>
    <row r="11" spans="2:6" x14ac:dyDescent="0.3">
      <c r="B11" s="5">
        <v>43957</v>
      </c>
      <c r="C11" t="s">
        <v>71</v>
      </c>
      <c r="D11" t="s">
        <v>31</v>
      </c>
      <c r="E11">
        <v>28994</v>
      </c>
      <c r="F11">
        <v>82.65</v>
      </c>
    </row>
    <row r="12" spans="2:6" x14ac:dyDescent="0.3">
      <c r="B12" s="5">
        <v>43958</v>
      </c>
      <c r="C12" t="s">
        <v>67</v>
      </c>
      <c r="D12" t="s">
        <v>41</v>
      </c>
      <c r="E12">
        <v>71675</v>
      </c>
      <c r="F12">
        <v>108.16</v>
      </c>
    </row>
    <row r="13" spans="2:6" x14ac:dyDescent="0.3">
      <c r="B13" s="5">
        <v>43958</v>
      </c>
      <c r="C13" t="s">
        <v>69</v>
      </c>
      <c r="D13" t="s">
        <v>24</v>
      </c>
      <c r="E13">
        <v>106836</v>
      </c>
      <c r="F13">
        <v>72.680000000000007</v>
      </c>
    </row>
    <row r="14" spans="2:6" x14ac:dyDescent="0.3">
      <c r="B14" s="5">
        <v>43962</v>
      </c>
      <c r="C14" t="s">
        <v>68</v>
      </c>
      <c r="D14" t="s">
        <v>66</v>
      </c>
      <c r="E14">
        <v>70658</v>
      </c>
      <c r="F14">
        <v>125.57</v>
      </c>
    </row>
    <row r="15" spans="2:6" x14ac:dyDescent="0.3">
      <c r="B15" s="5">
        <v>43967</v>
      </c>
      <c r="C15" t="s">
        <v>73</v>
      </c>
      <c r="D15" t="s">
        <v>37</v>
      </c>
      <c r="E15">
        <v>108138</v>
      </c>
      <c r="F15">
        <v>101.97</v>
      </c>
    </row>
    <row r="16" spans="2:6" x14ac:dyDescent="0.3">
      <c r="B16" s="5">
        <v>43967</v>
      </c>
      <c r="C16" t="s">
        <v>70</v>
      </c>
      <c r="D16" t="s">
        <v>17</v>
      </c>
      <c r="E16">
        <v>64799</v>
      </c>
      <c r="F16">
        <v>68.709999999999994</v>
      </c>
    </row>
    <row r="17" spans="2:6" x14ac:dyDescent="0.3">
      <c r="B17" s="5">
        <v>43970</v>
      </c>
      <c r="C17" t="s">
        <v>69</v>
      </c>
      <c r="D17" t="s">
        <v>37</v>
      </c>
      <c r="E17">
        <v>108138</v>
      </c>
      <c r="F17">
        <v>93.89</v>
      </c>
    </row>
    <row r="18" spans="2:6" x14ac:dyDescent="0.3">
      <c r="B18" s="5">
        <v>43971</v>
      </c>
      <c r="C18" t="s">
        <v>70</v>
      </c>
      <c r="D18" t="s">
        <v>43</v>
      </c>
      <c r="E18">
        <v>108077</v>
      </c>
      <c r="F18">
        <v>103.81</v>
      </c>
    </row>
    <row r="19" spans="2:6" x14ac:dyDescent="0.3">
      <c r="B19" s="5">
        <v>43980</v>
      </c>
      <c r="C19" t="s">
        <v>73</v>
      </c>
      <c r="D19" t="s">
        <v>37</v>
      </c>
      <c r="E19">
        <v>108138</v>
      </c>
      <c r="F19">
        <v>107.51</v>
      </c>
    </row>
    <row r="20" spans="2:6" x14ac:dyDescent="0.3">
      <c r="B20" s="5">
        <v>43980</v>
      </c>
      <c r="C20" t="s">
        <v>67</v>
      </c>
      <c r="D20" t="s">
        <v>47</v>
      </c>
      <c r="E20">
        <v>27746</v>
      </c>
      <c r="F20">
        <v>75.16</v>
      </c>
    </row>
    <row r="21" spans="2:6" x14ac:dyDescent="0.3">
      <c r="B21" s="5">
        <v>43981</v>
      </c>
      <c r="C21" t="s">
        <v>70</v>
      </c>
      <c r="D21" t="s">
        <v>64</v>
      </c>
      <c r="E21">
        <v>13666</v>
      </c>
      <c r="F21">
        <v>108.33</v>
      </c>
    </row>
    <row r="22" spans="2:6" x14ac:dyDescent="0.3">
      <c r="B22" s="5">
        <v>43982</v>
      </c>
      <c r="C22" t="s">
        <v>68</v>
      </c>
      <c r="D22" t="s">
        <v>62</v>
      </c>
      <c r="E22">
        <v>98588</v>
      </c>
      <c r="F22">
        <v>120.72</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DD420-7259-47D5-AD1C-B6E992EB9219}">
  <sheetPr codeName="Sheet22">
    <tabColor rgb="FF0000FF"/>
  </sheetPr>
  <dimension ref="B2:F20"/>
  <sheetViews>
    <sheetView workbookViewId="0">
      <selection activeCell="B5" sqref="B5"/>
    </sheetView>
  </sheetViews>
  <sheetFormatPr defaultRowHeight="14.4" x14ac:dyDescent="0.3"/>
  <cols>
    <col min="2" max="2" width="13.5546875" bestFit="1" customWidth="1"/>
    <col min="3" max="3" width="34.109375" customWidth="1"/>
    <col min="4" max="4" width="19.109375" bestFit="1" customWidth="1"/>
    <col min="5" max="5" width="17.33203125" customWidth="1"/>
    <col min="6" max="6" width="10.33203125" customWidth="1"/>
  </cols>
  <sheetData>
    <row r="2" spans="2:6" x14ac:dyDescent="0.3">
      <c r="B2" t="s">
        <v>32</v>
      </c>
      <c r="C2" t="str">
        <f>"Ex"&amp;TEXT(B6,"yyyymmm")</f>
        <v>Ex2020Jun</v>
      </c>
    </row>
    <row r="3" spans="2:6" x14ac:dyDescent="0.3">
      <c r="B3" t="s">
        <v>33</v>
      </c>
      <c r="C3" s="7" t="str" cm="1">
        <f t="array" aca="1" ref="C3" ca="1">REPLACE(CELL("filename",A1),1,SEARCH("]",CELL("filename",A1)),"")</f>
        <v>20(6)</v>
      </c>
    </row>
    <row r="5" spans="2:6" x14ac:dyDescent="0.3">
      <c r="B5" s="6" t="s">
        <v>7</v>
      </c>
      <c r="C5" s="6" t="s">
        <v>8</v>
      </c>
      <c r="D5" s="6" t="s">
        <v>9</v>
      </c>
      <c r="E5" s="6" t="s">
        <v>10</v>
      </c>
      <c r="F5" s="6" t="s">
        <v>11</v>
      </c>
    </row>
    <row r="6" spans="2:6" x14ac:dyDescent="0.3">
      <c r="B6" s="5">
        <v>43985</v>
      </c>
      <c r="C6" t="s">
        <v>75</v>
      </c>
      <c r="D6" t="s">
        <v>17</v>
      </c>
      <c r="E6">
        <v>66819</v>
      </c>
      <c r="F6">
        <v>106.69</v>
      </c>
    </row>
    <row r="7" spans="2:6" x14ac:dyDescent="0.3">
      <c r="B7" s="5">
        <v>43985</v>
      </c>
      <c r="C7" t="s">
        <v>61</v>
      </c>
      <c r="D7" t="s">
        <v>56</v>
      </c>
      <c r="E7">
        <v>78175</v>
      </c>
      <c r="F7">
        <v>43.31</v>
      </c>
    </row>
    <row r="8" spans="2:6" x14ac:dyDescent="0.3">
      <c r="B8" s="5">
        <v>43986</v>
      </c>
      <c r="C8" t="s">
        <v>61</v>
      </c>
      <c r="D8" t="s">
        <v>41</v>
      </c>
      <c r="E8">
        <v>73695</v>
      </c>
      <c r="F8">
        <v>55.51</v>
      </c>
    </row>
    <row r="9" spans="2:6" x14ac:dyDescent="0.3">
      <c r="B9" s="5">
        <v>43988</v>
      </c>
      <c r="C9" t="s">
        <v>59</v>
      </c>
      <c r="D9" t="s">
        <v>41</v>
      </c>
      <c r="E9">
        <v>73695</v>
      </c>
      <c r="F9">
        <v>48.65</v>
      </c>
    </row>
    <row r="10" spans="2:6" x14ac:dyDescent="0.3">
      <c r="B10" s="5">
        <v>43992</v>
      </c>
      <c r="C10" t="s">
        <v>59</v>
      </c>
      <c r="D10" t="s">
        <v>17</v>
      </c>
      <c r="E10">
        <v>66819</v>
      </c>
      <c r="F10">
        <v>4.28</v>
      </c>
    </row>
    <row r="11" spans="2:6" x14ac:dyDescent="0.3">
      <c r="B11" s="5">
        <v>43993</v>
      </c>
      <c r="C11" t="s">
        <v>57</v>
      </c>
      <c r="D11" t="s">
        <v>60</v>
      </c>
      <c r="E11">
        <v>108754</v>
      </c>
      <c r="F11">
        <v>83.69</v>
      </c>
    </row>
    <row r="12" spans="2:6" x14ac:dyDescent="0.3">
      <c r="B12" s="5">
        <v>43997</v>
      </c>
      <c r="C12" t="s">
        <v>58</v>
      </c>
      <c r="D12" t="s">
        <v>29</v>
      </c>
      <c r="E12">
        <v>110793</v>
      </c>
      <c r="F12">
        <v>82.32</v>
      </c>
    </row>
    <row r="13" spans="2:6" x14ac:dyDescent="0.3">
      <c r="B13" s="5">
        <v>43998</v>
      </c>
      <c r="C13" t="s">
        <v>54</v>
      </c>
      <c r="D13" t="s">
        <v>24</v>
      </c>
      <c r="E13">
        <v>108856</v>
      </c>
      <c r="F13">
        <v>111.57</v>
      </c>
    </row>
    <row r="14" spans="2:6" x14ac:dyDescent="0.3">
      <c r="B14" s="5">
        <v>43998</v>
      </c>
      <c r="C14" t="s">
        <v>57</v>
      </c>
      <c r="D14" t="s">
        <v>15</v>
      </c>
      <c r="E14">
        <v>35883</v>
      </c>
      <c r="F14">
        <v>46.26</v>
      </c>
    </row>
    <row r="15" spans="2:6" x14ac:dyDescent="0.3">
      <c r="B15" s="5">
        <v>43999</v>
      </c>
      <c r="C15" t="s">
        <v>76</v>
      </c>
      <c r="D15" t="s">
        <v>24</v>
      </c>
      <c r="E15">
        <v>108856</v>
      </c>
      <c r="F15">
        <v>8.33</v>
      </c>
    </row>
    <row r="16" spans="2:6" x14ac:dyDescent="0.3">
      <c r="B16" s="5">
        <v>44002</v>
      </c>
      <c r="C16" t="s">
        <v>61</v>
      </c>
      <c r="D16" t="s">
        <v>64</v>
      </c>
      <c r="E16">
        <v>15686</v>
      </c>
      <c r="F16">
        <v>7.07</v>
      </c>
    </row>
    <row r="17" spans="2:6" x14ac:dyDescent="0.3">
      <c r="B17" s="5">
        <v>44003</v>
      </c>
      <c r="C17" t="s">
        <v>57</v>
      </c>
      <c r="D17" t="s">
        <v>47</v>
      </c>
      <c r="E17">
        <v>29766</v>
      </c>
      <c r="F17">
        <v>67.069999999999993</v>
      </c>
    </row>
    <row r="18" spans="2:6" x14ac:dyDescent="0.3">
      <c r="B18" s="5">
        <v>44003</v>
      </c>
      <c r="C18" t="s">
        <v>59</v>
      </c>
      <c r="D18" t="s">
        <v>65</v>
      </c>
      <c r="E18">
        <v>12503</v>
      </c>
      <c r="F18">
        <v>90.32</v>
      </c>
    </row>
    <row r="19" spans="2:6" x14ac:dyDescent="0.3">
      <c r="B19" s="5">
        <v>44005</v>
      </c>
      <c r="C19" t="s">
        <v>76</v>
      </c>
      <c r="D19" t="s">
        <v>56</v>
      </c>
      <c r="E19">
        <v>78175</v>
      </c>
      <c r="F19">
        <v>112.54</v>
      </c>
    </row>
    <row r="20" spans="2:6" x14ac:dyDescent="0.3">
      <c r="B20" s="5">
        <v>44006</v>
      </c>
      <c r="C20" t="s">
        <v>59</v>
      </c>
      <c r="D20" t="s">
        <v>45</v>
      </c>
      <c r="E20">
        <v>85482</v>
      </c>
      <c r="F20">
        <v>111.25</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C0EF5-D542-4421-8814-301CBB09D421}">
  <sheetPr codeName="Sheet23">
    <tabColor rgb="FF0000FF"/>
  </sheetPr>
  <dimension ref="B2:F27"/>
  <sheetViews>
    <sheetView workbookViewId="0">
      <selection activeCell="B5" sqref="B5"/>
    </sheetView>
  </sheetViews>
  <sheetFormatPr defaultRowHeight="14.4" x14ac:dyDescent="0.3"/>
  <cols>
    <col min="2" max="2" width="13.5546875" bestFit="1" customWidth="1"/>
    <col min="3" max="3" width="41.109375" bestFit="1" customWidth="1"/>
    <col min="4" max="4" width="22.88671875" bestFit="1" customWidth="1"/>
    <col min="5" max="5" width="17.33203125" customWidth="1"/>
    <col min="6" max="6" width="10.33203125" customWidth="1"/>
  </cols>
  <sheetData>
    <row r="2" spans="2:6" x14ac:dyDescent="0.3">
      <c r="B2" t="s">
        <v>32</v>
      </c>
      <c r="C2" t="str">
        <f>"Ex"&amp;TEXT(B6,"yyyymmm")</f>
        <v>Ex2020Jul</v>
      </c>
    </row>
    <row r="3" spans="2:6" x14ac:dyDescent="0.3">
      <c r="B3" t="s">
        <v>33</v>
      </c>
      <c r="C3" s="7" t="str" cm="1">
        <f t="array" aca="1" ref="C3" ca="1">REPLACE(CELL("filename",A1),1,SEARCH("]",CELL("filename",A1)),"")</f>
        <v>20(7)</v>
      </c>
    </row>
    <row r="5" spans="2:6" x14ac:dyDescent="0.3">
      <c r="B5" s="6" t="s">
        <v>7</v>
      </c>
      <c r="C5" s="6" t="s">
        <v>8</v>
      </c>
      <c r="D5" s="6" t="s">
        <v>9</v>
      </c>
      <c r="E5" s="6" t="s">
        <v>10</v>
      </c>
      <c r="F5" s="6" t="s">
        <v>11</v>
      </c>
    </row>
    <row r="6" spans="2:6" x14ac:dyDescent="0.3">
      <c r="B6" s="5">
        <v>44013</v>
      </c>
      <c r="C6" t="s">
        <v>35</v>
      </c>
      <c r="D6" t="s">
        <v>28</v>
      </c>
      <c r="E6">
        <v>60598</v>
      </c>
      <c r="F6">
        <v>62.26</v>
      </c>
    </row>
    <row r="7" spans="2:6" x14ac:dyDescent="0.3">
      <c r="B7" s="5">
        <v>44015</v>
      </c>
      <c r="C7" t="s">
        <v>52</v>
      </c>
      <c r="D7" t="s">
        <v>43</v>
      </c>
      <c r="E7">
        <v>112117</v>
      </c>
      <c r="F7">
        <v>137.30000000000001</v>
      </c>
    </row>
    <row r="8" spans="2:6" x14ac:dyDescent="0.3">
      <c r="B8" s="5">
        <v>44018</v>
      </c>
      <c r="C8" t="s">
        <v>38</v>
      </c>
      <c r="D8" t="s">
        <v>37</v>
      </c>
      <c r="E8">
        <v>112178</v>
      </c>
      <c r="F8">
        <v>128.38</v>
      </c>
    </row>
    <row r="9" spans="2:6" x14ac:dyDescent="0.3">
      <c r="B9" s="5">
        <v>44019</v>
      </c>
      <c r="C9" t="s">
        <v>52</v>
      </c>
      <c r="D9" t="s">
        <v>53</v>
      </c>
      <c r="E9">
        <v>97824</v>
      </c>
      <c r="F9">
        <v>86.22</v>
      </c>
    </row>
    <row r="10" spans="2:6" x14ac:dyDescent="0.3">
      <c r="B10" s="5">
        <v>44020</v>
      </c>
      <c r="C10" t="s">
        <v>44</v>
      </c>
      <c r="D10" t="s">
        <v>31</v>
      </c>
      <c r="E10">
        <v>33034</v>
      </c>
      <c r="F10">
        <v>43.74</v>
      </c>
    </row>
    <row r="11" spans="2:6" x14ac:dyDescent="0.3">
      <c r="B11" s="5">
        <v>44020</v>
      </c>
      <c r="C11" t="s">
        <v>40</v>
      </c>
      <c r="D11" t="s">
        <v>66</v>
      </c>
      <c r="E11">
        <v>74698</v>
      </c>
      <c r="F11">
        <v>218.08</v>
      </c>
    </row>
    <row r="12" spans="2:6" x14ac:dyDescent="0.3">
      <c r="B12" s="5">
        <v>44021</v>
      </c>
      <c r="C12" t="s">
        <v>52</v>
      </c>
      <c r="D12" t="s">
        <v>39</v>
      </c>
      <c r="E12">
        <v>84714</v>
      </c>
      <c r="F12">
        <v>150.99</v>
      </c>
    </row>
    <row r="13" spans="2:6" x14ac:dyDescent="0.3">
      <c r="B13" s="5">
        <v>44023</v>
      </c>
      <c r="C13" t="s">
        <v>40</v>
      </c>
      <c r="D13" t="s">
        <v>19</v>
      </c>
      <c r="E13">
        <v>25399</v>
      </c>
      <c r="F13">
        <v>226.07</v>
      </c>
    </row>
    <row r="14" spans="2:6" x14ac:dyDescent="0.3">
      <c r="B14" s="5">
        <v>44026</v>
      </c>
      <c r="C14" t="s">
        <v>40</v>
      </c>
      <c r="D14" t="s">
        <v>62</v>
      </c>
      <c r="E14">
        <v>102628</v>
      </c>
      <c r="F14">
        <v>64.02</v>
      </c>
    </row>
    <row r="15" spans="2:6" x14ac:dyDescent="0.3">
      <c r="B15" s="5">
        <v>44028</v>
      </c>
      <c r="C15" t="s">
        <v>42</v>
      </c>
      <c r="D15" t="s">
        <v>30</v>
      </c>
      <c r="E15">
        <v>42086</v>
      </c>
      <c r="F15">
        <v>54.46</v>
      </c>
    </row>
    <row r="16" spans="2:6" x14ac:dyDescent="0.3">
      <c r="B16" s="5">
        <v>44028</v>
      </c>
      <c r="C16" t="s">
        <v>35</v>
      </c>
      <c r="D16" t="s">
        <v>28</v>
      </c>
      <c r="E16">
        <v>60598</v>
      </c>
      <c r="F16">
        <v>111.15</v>
      </c>
    </row>
    <row r="17" spans="2:6" x14ac:dyDescent="0.3">
      <c r="B17" s="5">
        <v>44029</v>
      </c>
      <c r="C17" t="s">
        <v>35</v>
      </c>
      <c r="D17" t="s">
        <v>31</v>
      </c>
      <c r="E17">
        <v>33034</v>
      </c>
      <c r="F17">
        <v>140.83000000000001</v>
      </c>
    </row>
    <row r="18" spans="2:6" x14ac:dyDescent="0.3">
      <c r="B18" s="5">
        <v>44029</v>
      </c>
      <c r="C18" t="s">
        <v>42</v>
      </c>
      <c r="D18" t="s">
        <v>62</v>
      </c>
      <c r="E18">
        <v>102628</v>
      </c>
      <c r="F18">
        <v>181.08</v>
      </c>
    </row>
    <row r="19" spans="2:6" x14ac:dyDescent="0.3">
      <c r="B19" s="5">
        <v>44032</v>
      </c>
      <c r="C19" t="s">
        <v>35</v>
      </c>
      <c r="D19" t="s">
        <v>15</v>
      </c>
      <c r="E19">
        <v>37903</v>
      </c>
      <c r="F19">
        <v>222.67</v>
      </c>
    </row>
    <row r="20" spans="2:6" x14ac:dyDescent="0.3">
      <c r="B20" s="5">
        <v>44036</v>
      </c>
      <c r="C20" t="s">
        <v>52</v>
      </c>
      <c r="D20" t="s">
        <v>29</v>
      </c>
      <c r="E20">
        <v>112813</v>
      </c>
      <c r="F20">
        <v>170.71</v>
      </c>
    </row>
    <row r="21" spans="2:6" x14ac:dyDescent="0.3">
      <c r="B21" s="5">
        <v>44038</v>
      </c>
      <c r="C21" t="s">
        <v>35</v>
      </c>
      <c r="D21" t="s">
        <v>56</v>
      </c>
      <c r="E21">
        <v>80195</v>
      </c>
      <c r="F21">
        <v>69.28</v>
      </c>
    </row>
    <row r="22" spans="2:6" x14ac:dyDescent="0.3">
      <c r="B22" s="5">
        <v>44038</v>
      </c>
      <c r="C22" t="s">
        <v>40</v>
      </c>
      <c r="D22" t="s">
        <v>56</v>
      </c>
      <c r="E22">
        <v>80195</v>
      </c>
      <c r="F22">
        <v>205.42</v>
      </c>
    </row>
    <row r="23" spans="2:6" x14ac:dyDescent="0.3">
      <c r="B23" s="5">
        <v>44040</v>
      </c>
      <c r="C23" t="s">
        <v>38</v>
      </c>
      <c r="D23" t="s">
        <v>36</v>
      </c>
      <c r="E23">
        <v>30129</v>
      </c>
      <c r="F23">
        <v>169.33</v>
      </c>
    </row>
    <row r="24" spans="2:6" x14ac:dyDescent="0.3">
      <c r="B24" s="5">
        <v>44040</v>
      </c>
      <c r="C24" t="s">
        <v>52</v>
      </c>
      <c r="D24" t="s">
        <v>65</v>
      </c>
      <c r="E24">
        <v>14523</v>
      </c>
      <c r="F24">
        <v>237.78</v>
      </c>
    </row>
    <row r="25" spans="2:6" x14ac:dyDescent="0.3">
      <c r="B25" s="5">
        <v>44040</v>
      </c>
      <c r="C25" t="s">
        <v>52</v>
      </c>
      <c r="D25" t="s">
        <v>41</v>
      </c>
      <c r="E25">
        <v>75715</v>
      </c>
      <c r="F25">
        <v>169.8</v>
      </c>
    </row>
    <row r="26" spans="2:6" x14ac:dyDescent="0.3">
      <c r="B26" s="5">
        <v>44041</v>
      </c>
      <c r="C26" t="s">
        <v>35</v>
      </c>
      <c r="D26" t="s">
        <v>56</v>
      </c>
      <c r="E26">
        <v>80195</v>
      </c>
      <c r="F26">
        <v>136.21</v>
      </c>
    </row>
    <row r="27" spans="2:6" x14ac:dyDescent="0.3">
      <c r="B27" s="5">
        <v>44043</v>
      </c>
      <c r="C27" t="s">
        <v>42</v>
      </c>
      <c r="D27" t="s">
        <v>37</v>
      </c>
      <c r="E27">
        <v>112178</v>
      </c>
      <c r="F27">
        <v>5.64</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123A1-2441-4072-B960-B347801F9E84}">
  <sheetPr codeName="Sheet24">
    <tabColor rgb="FF0000FF"/>
  </sheetPr>
  <dimension ref="B2:F34"/>
  <sheetViews>
    <sheetView workbookViewId="0">
      <selection activeCell="B5" sqref="B5"/>
    </sheetView>
  </sheetViews>
  <sheetFormatPr defaultRowHeight="14.4" x14ac:dyDescent="0.3"/>
  <cols>
    <col min="2" max="2" width="13.5546875" bestFit="1" customWidth="1"/>
    <col min="3" max="3" width="41.109375" bestFit="1" customWidth="1"/>
    <col min="4" max="4" width="22.88671875" bestFit="1" customWidth="1"/>
    <col min="5" max="5" width="17.33203125" customWidth="1"/>
    <col min="6" max="6" width="10.33203125" customWidth="1"/>
  </cols>
  <sheetData>
    <row r="2" spans="2:6" x14ac:dyDescent="0.3">
      <c r="B2" t="s">
        <v>32</v>
      </c>
      <c r="C2" t="str">
        <f>"Ex"&amp;TEXT(B6,"yyyymmm")</f>
        <v>Ex2020Aug</v>
      </c>
    </row>
    <row r="3" spans="2:6" x14ac:dyDescent="0.3">
      <c r="B3" t="s">
        <v>33</v>
      </c>
      <c r="C3" s="7" t="str" cm="1">
        <f t="array" aca="1" ref="C3" ca="1">REPLACE(CELL("filename",A1),1,SEARCH("]",CELL("filename",A1)),"")</f>
        <v>20(8)</v>
      </c>
    </row>
    <row r="5" spans="2:6" x14ac:dyDescent="0.3">
      <c r="B5" s="6" t="s">
        <v>7</v>
      </c>
      <c r="C5" s="6" t="s">
        <v>8</v>
      </c>
      <c r="D5" s="6" t="s">
        <v>9</v>
      </c>
      <c r="E5" s="6" t="s">
        <v>10</v>
      </c>
      <c r="F5" s="6" t="s">
        <v>11</v>
      </c>
    </row>
    <row r="6" spans="2:6" x14ac:dyDescent="0.3">
      <c r="B6" s="5">
        <v>44046</v>
      </c>
      <c r="C6" t="s">
        <v>34</v>
      </c>
      <c r="D6" t="s">
        <v>46</v>
      </c>
      <c r="E6">
        <v>44739</v>
      </c>
      <c r="F6">
        <v>501.91</v>
      </c>
    </row>
    <row r="7" spans="2:6" x14ac:dyDescent="0.3">
      <c r="B7" s="5">
        <v>44046</v>
      </c>
      <c r="C7" t="s">
        <v>50</v>
      </c>
      <c r="D7" t="s">
        <v>21</v>
      </c>
      <c r="E7">
        <v>42800</v>
      </c>
      <c r="F7">
        <v>348.78</v>
      </c>
    </row>
    <row r="8" spans="2:6" x14ac:dyDescent="0.3">
      <c r="B8" s="5">
        <v>44047</v>
      </c>
      <c r="C8" t="s">
        <v>40</v>
      </c>
      <c r="D8" t="s">
        <v>66</v>
      </c>
      <c r="E8">
        <v>76718</v>
      </c>
      <c r="F8">
        <v>434.34</v>
      </c>
    </row>
    <row r="9" spans="2:6" x14ac:dyDescent="0.3">
      <c r="B9" s="5">
        <v>44048</v>
      </c>
      <c r="C9" t="s">
        <v>42</v>
      </c>
      <c r="D9" t="s">
        <v>49</v>
      </c>
      <c r="E9">
        <v>33948</v>
      </c>
      <c r="F9">
        <v>253.97</v>
      </c>
    </row>
    <row r="10" spans="2:6" x14ac:dyDescent="0.3">
      <c r="B10" s="5">
        <v>44049</v>
      </c>
      <c r="C10" t="s">
        <v>42</v>
      </c>
      <c r="D10" t="s">
        <v>39</v>
      </c>
      <c r="E10">
        <v>86734</v>
      </c>
      <c r="F10">
        <v>367.16</v>
      </c>
    </row>
    <row r="11" spans="2:6" x14ac:dyDescent="0.3">
      <c r="B11" s="5">
        <v>44051</v>
      </c>
      <c r="C11" t="s">
        <v>35</v>
      </c>
      <c r="D11" t="s">
        <v>65</v>
      </c>
      <c r="E11">
        <v>16543</v>
      </c>
      <c r="F11">
        <v>462.09</v>
      </c>
    </row>
    <row r="12" spans="2:6" x14ac:dyDescent="0.3">
      <c r="B12" s="5">
        <v>44052</v>
      </c>
      <c r="C12" t="s">
        <v>42</v>
      </c>
      <c r="D12" t="s">
        <v>48</v>
      </c>
      <c r="E12">
        <v>41195</v>
      </c>
      <c r="F12">
        <v>395.65</v>
      </c>
    </row>
    <row r="13" spans="2:6" x14ac:dyDescent="0.3">
      <c r="B13" s="5">
        <v>44052</v>
      </c>
      <c r="C13" t="s">
        <v>42</v>
      </c>
      <c r="D13" t="s">
        <v>31</v>
      </c>
      <c r="E13">
        <v>35054</v>
      </c>
      <c r="F13">
        <v>303.14</v>
      </c>
    </row>
    <row r="14" spans="2:6" x14ac:dyDescent="0.3">
      <c r="B14" s="5">
        <v>44054</v>
      </c>
      <c r="C14" t="s">
        <v>38</v>
      </c>
      <c r="D14" t="s">
        <v>28</v>
      </c>
      <c r="E14">
        <v>62618</v>
      </c>
      <c r="F14">
        <v>520.58000000000004</v>
      </c>
    </row>
    <row r="15" spans="2:6" x14ac:dyDescent="0.3">
      <c r="B15" s="5">
        <v>44055</v>
      </c>
      <c r="C15" t="s">
        <v>38</v>
      </c>
      <c r="D15" t="s">
        <v>31</v>
      </c>
      <c r="E15">
        <v>35054</v>
      </c>
      <c r="F15">
        <v>486.95</v>
      </c>
    </row>
    <row r="16" spans="2:6" x14ac:dyDescent="0.3">
      <c r="B16" s="5">
        <v>44056</v>
      </c>
      <c r="C16" t="s">
        <v>35</v>
      </c>
      <c r="D16" t="s">
        <v>45</v>
      </c>
      <c r="E16">
        <v>89522</v>
      </c>
      <c r="F16">
        <v>509.42</v>
      </c>
    </row>
    <row r="17" spans="2:6" x14ac:dyDescent="0.3">
      <c r="B17" s="5">
        <v>44056</v>
      </c>
      <c r="C17" t="s">
        <v>40</v>
      </c>
      <c r="D17" t="s">
        <v>51</v>
      </c>
      <c r="E17">
        <v>78924</v>
      </c>
      <c r="F17">
        <v>496.64</v>
      </c>
    </row>
    <row r="18" spans="2:6" x14ac:dyDescent="0.3">
      <c r="B18" s="5">
        <v>44058</v>
      </c>
      <c r="C18" t="s">
        <v>35</v>
      </c>
      <c r="D18" t="s">
        <v>65</v>
      </c>
      <c r="E18">
        <v>16543</v>
      </c>
      <c r="F18">
        <v>284.44</v>
      </c>
    </row>
    <row r="19" spans="2:6" x14ac:dyDescent="0.3">
      <c r="B19" s="5">
        <v>44059</v>
      </c>
      <c r="C19" t="s">
        <v>35</v>
      </c>
      <c r="D19" t="s">
        <v>48</v>
      </c>
      <c r="E19">
        <v>41195</v>
      </c>
      <c r="F19">
        <v>563.95000000000005</v>
      </c>
    </row>
    <row r="20" spans="2:6" x14ac:dyDescent="0.3">
      <c r="B20" s="5">
        <v>44059</v>
      </c>
      <c r="C20" t="s">
        <v>50</v>
      </c>
      <c r="D20" t="s">
        <v>47</v>
      </c>
      <c r="E20">
        <v>33806</v>
      </c>
      <c r="F20">
        <v>503.84</v>
      </c>
    </row>
    <row r="21" spans="2:6" x14ac:dyDescent="0.3">
      <c r="B21" s="5">
        <v>44060</v>
      </c>
      <c r="C21" t="s">
        <v>50</v>
      </c>
      <c r="D21" t="s">
        <v>30</v>
      </c>
      <c r="E21">
        <v>44106</v>
      </c>
      <c r="F21">
        <v>374.87</v>
      </c>
    </row>
    <row r="22" spans="2:6" x14ac:dyDescent="0.3">
      <c r="B22" s="5">
        <v>44061</v>
      </c>
      <c r="C22" t="s">
        <v>52</v>
      </c>
      <c r="D22" t="s">
        <v>56</v>
      </c>
      <c r="E22">
        <v>82215</v>
      </c>
      <c r="F22">
        <v>408.43</v>
      </c>
    </row>
    <row r="23" spans="2:6" x14ac:dyDescent="0.3">
      <c r="B23" s="5">
        <v>44061</v>
      </c>
      <c r="C23" t="s">
        <v>42</v>
      </c>
      <c r="D23" t="s">
        <v>30</v>
      </c>
      <c r="E23">
        <v>44106</v>
      </c>
      <c r="F23">
        <v>570.32000000000005</v>
      </c>
    </row>
    <row r="24" spans="2:6" x14ac:dyDescent="0.3">
      <c r="B24" s="5">
        <v>44061</v>
      </c>
      <c r="C24" t="s">
        <v>44</v>
      </c>
      <c r="D24" t="s">
        <v>28</v>
      </c>
      <c r="E24">
        <v>62618</v>
      </c>
      <c r="F24">
        <v>360.09</v>
      </c>
    </row>
    <row r="25" spans="2:6" x14ac:dyDescent="0.3">
      <c r="B25" s="5">
        <v>44062</v>
      </c>
      <c r="C25" t="s">
        <v>40</v>
      </c>
      <c r="D25" t="s">
        <v>62</v>
      </c>
      <c r="E25">
        <v>104648</v>
      </c>
      <c r="F25">
        <v>481.63</v>
      </c>
    </row>
    <row r="26" spans="2:6" x14ac:dyDescent="0.3">
      <c r="B26" s="5">
        <v>44064</v>
      </c>
      <c r="C26" t="s">
        <v>35</v>
      </c>
      <c r="D26" t="s">
        <v>60</v>
      </c>
      <c r="E26">
        <v>112794</v>
      </c>
      <c r="F26">
        <v>446.93</v>
      </c>
    </row>
    <row r="27" spans="2:6" x14ac:dyDescent="0.3">
      <c r="B27" s="5">
        <v>44065</v>
      </c>
      <c r="C27" t="s">
        <v>35</v>
      </c>
      <c r="D27" t="s">
        <v>28</v>
      </c>
      <c r="E27">
        <v>62618</v>
      </c>
      <c r="F27">
        <v>321.87</v>
      </c>
    </row>
    <row r="28" spans="2:6" x14ac:dyDescent="0.3">
      <c r="B28" s="5">
        <v>44068</v>
      </c>
      <c r="C28" t="s">
        <v>34</v>
      </c>
      <c r="D28" t="s">
        <v>65</v>
      </c>
      <c r="E28">
        <v>16543</v>
      </c>
      <c r="F28">
        <v>425.55</v>
      </c>
    </row>
    <row r="29" spans="2:6" x14ac:dyDescent="0.3">
      <c r="B29" s="5">
        <v>44068</v>
      </c>
      <c r="C29" t="s">
        <v>42</v>
      </c>
      <c r="D29" t="s">
        <v>66</v>
      </c>
      <c r="E29">
        <v>76718</v>
      </c>
      <c r="F29">
        <v>453.46</v>
      </c>
    </row>
    <row r="30" spans="2:6" x14ac:dyDescent="0.3">
      <c r="B30" s="5">
        <v>44069</v>
      </c>
      <c r="C30" t="s">
        <v>50</v>
      </c>
      <c r="D30" t="s">
        <v>63</v>
      </c>
      <c r="E30">
        <v>102195</v>
      </c>
      <c r="F30">
        <v>585.32000000000005</v>
      </c>
    </row>
    <row r="31" spans="2:6" x14ac:dyDescent="0.3">
      <c r="B31" s="5">
        <v>44071</v>
      </c>
      <c r="C31" t="s">
        <v>35</v>
      </c>
      <c r="D31" t="s">
        <v>43</v>
      </c>
      <c r="E31">
        <v>114137</v>
      </c>
      <c r="F31">
        <v>583.19000000000005</v>
      </c>
    </row>
    <row r="32" spans="2:6" x14ac:dyDescent="0.3">
      <c r="B32" s="5">
        <v>44072</v>
      </c>
      <c r="C32" t="s">
        <v>52</v>
      </c>
      <c r="D32" t="s">
        <v>23</v>
      </c>
      <c r="E32">
        <v>52452</v>
      </c>
      <c r="F32">
        <v>427.59</v>
      </c>
    </row>
    <row r="33" spans="2:6" x14ac:dyDescent="0.3">
      <c r="B33" s="5">
        <v>44073</v>
      </c>
      <c r="C33" t="s">
        <v>35</v>
      </c>
      <c r="D33" t="s">
        <v>17</v>
      </c>
      <c r="E33">
        <v>70859</v>
      </c>
      <c r="F33">
        <v>320.56</v>
      </c>
    </row>
    <row r="34" spans="2:6" x14ac:dyDescent="0.3">
      <c r="B34" s="5">
        <v>44074</v>
      </c>
      <c r="C34" t="s">
        <v>50</v>
      </c>
      <c r="D34" t="s">
        <v>28</v>
      </c>
      <c r="E34">
        <v>62618</v>
      </c>
      <c r="F34">
        <v>508.39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00BA3D-A78F-4C30-A5A9-61DE41B44CC9}">
  <sheetPr codeName="Sheet25">
    <tabColor rgb="FF0000FF"/>
  </sheetPr>
  <dimension ref="B2:F38"/>
  <sheetViews>
    <sheetView topLeftCell="A2" workbookViewId="0">
      <selection activeCell="B5" sqref="B5"/>
    </sheetView>
  </sheetViews>
  <sheetFormatPr defaultRowHeight="14.4" x14ac:dyDescent="0.3"/>
  <cols>
    <col min="2" max="2" width="13.5546875" bestFit="1" customWidth="1"/>
    <col min="3" max="3" width="34.109375" customWidth="1"/>
    <col min="4" max="4" width="22.88671875" bestFit="1" customWidth="1"/>
    <col min="5" max="5" width="17.33203125" customWidth="1"/>
    <col min="6" max="6" width="10.33203125" customWidth="1"/>
  </cols>
  <sheetData>
    <row r="2" spans="2:6" x14ac:dyDescent="0.3">
      <c r="B2" t="s">
        <v>32</v>
      </c>
      <c r="C2" t="str">
        <f>"Ex"&amp;TEXT(B6,"yyyymmm")</f>
        <v>Ex2020Sep</v>
      </c>
    </row>
    <row r="3" spans="2:6" x14ac:dyDescent="0.3">
      <c r="B3" t="s">
        <v>33</v>
      </c>
      <c r="C3" s="7" t="str" cm="1">
        <f t="array" aca="1" ref="C3" ca="1">REPLACE(CELL("filename",A1),1,SEARCH("]",CELL("filename",A1)),"")</f>
        <v>20(9)</v>
      </c>
    </row>
    <row r="5" spans="2:6" x14ac:dyDescent="0.3">
      <c r="B5" s="6" t="s">
        <v>7</v>
      </c>
      <c r="C5" s="6" t="s">
        <v>8</v>
      </c>
      <c r="D5" s="6" t="s">
        <v>9</v>
      </c>
      <c r="E5" s="6" t="s">
        <v>10</v>
      </c>
      <c r="F5" s="6" t="s">
        <v>11</v>
      </c>
    </row>
    <row r="6" spans="2:6" x14ac:dyDescent="0.3">
      <c r="B6" s="5">
        <v>44075</v>
      </c>
      <c r="C6" t="s">
        <v>74</v>
      </c>
      <c r="D6" t="s">
        <v>49</v>
      </c>
      <c r="E6">
        <v>35968</v>
      </c>
      <c r="F6">
        <v>242.09</v>
      </c>
    </row>
    <row r="7" spans="2:6" x14ac:dyDescent="0.3">
      <c r="B7" s="5">
        <v>44076</v>
      </c>
      <c r="C7" t="s">
        <v>71</v>
      </c>
      <c r="D7" t="s">
        <v>62</v>
      </c>
      <c r="E7">
        <v>106668</v>
      </c>
      <c r="F7">
        <v>96.55</v>
      </c>
    </row>
    <row r="8" spans="2:6" x14ac:dyDescent="0.3">
      <c r="B8" s="5">
        <v>44077</v>
      </c>
      <c r="C8" t="s">
        <v>74</v>
      </c>
      <c r="D8" t="s">
        <v>48</v>
      </c>
      <c r="E8">
        <v>43215</v>
      </c>
      <c r="F8">
        <v>181.42</v>
      </c>
    </row>
    <row r="9" spans="2:6" x14ac:dyDescent="0.3">
      <c r="B9" s="5">
        <v>44079</v>
      </c>
      <c r="C9" t="s">
        <v>69</v>
      </c>
      <c r="D9" t="s">
        <v>28</v>
      </c>
      <c r="E9">
        <v>64638</v>
      </c>
      <c r="F9">
        <v>166.87</v>
      </c>
    </row>
    <row r="10" spans="2:6" x14ac:dyDescent="0.3">
      <c r="B10" s="5">
        <v>44079</v>
      </c>
      <c r="C10" t="s">
        <v>74</v>
      </c>
      <c r="D10" t="s">
        <v>60</v>
      </c>
      <c r="E10">
        <v>114814</v>
      </c>
      <c r="F10">
        <v>33.81</v>
      </c>
    </row>
    <row r="11" spans="2:6" x14ac:dyDescent="0.3">
      <c r="B11" s="5">
        <v>44079</v>
      </c>
      <c r="C11" t="s">
        <v>70</v>
      </c>
      <c r="D11" t="s">
        <v>39</v>
      </c>
      <c r="E11">
        <v>88754</v>
      </c>
      <c r="F11">
        <v>130.03</v>
      </c>
    </row>
    <row r="12" spans="2:6" x14ac:dyDescent="0.3">
      <c r="B12" s="5">
        <v>44081</v>
      </c>
      <c r="C12" t="s">
        <v>67</v>
      </c>
      <c r="D12" t="s">
        <v>56</v>
      </c>
      <c r="E12">
        <v>84235</v>
      </c>
      <c r="F12">
        <v>74.930000000000007</v>
      </c>
    </row>
    <row r="13" spans="2:6" x14ac:dyDescent="0.3">
      <c r="B13" s="5">
        <v>44084</v>
      </c>
      <c r="C13" t="s">
        <v>74</v>
      </c>
      <c r="D13" t="s">
        <v>41</v>
      </c>
      <c r="E13">
        <v>79755</v>
      </c>
      <c r="F13">
        <v>82.86</v>
      </c>
    </row>
    <row r="14" spans="2:6" x14ac:dyDescent="0.3">
      <c r="B14" s="5">
        <v>44085</v>
      </c>
      <c r="C14" t="s">
        <v>73</v>
      </c>
      <c r="D14" t="s">
        <v>13</v>
      </c>
      <c r="E14">
        <v>34992</v>
      </c>
      <c r="F14">
        <v>256.75</v>
      </c>
    </row>
    <row r="15" spans="2:6" x14ac:dyDescent="0.3">
      <c r="B15" s="5">
        <v>44086</v>
      </c>
      <c r="C15" t="s">
        <v>67</v>
      </c>
      <c r="D15" t="s">
        <v>43</v>
      </c>
      <c r="E15">
        <v>116157</v>
      </c>
      <c r="F15">
        <v>103.89</v>
      </c>
    </row>
    <row r="16" spans="2:6" x14ac:dyDescent="0.3">
      <c r="B16" s="5">
        <v>44087</v>
      </c>
      <c r="C16" t="s">
        <v>74</v>
      </c>
      <c r="D16" t="s">
        <v>45</v>
      </c>
      <c r="E16">
        <v>91542</v>
      </c>
      <c r="F16">
        <v>204.29</v>
      </c>
    </row>
    <row r="17" spans="2:6" x14ac:dyDescent="0.3">
      <c r="B17" s="5">
        <v>44089</v>
      </c>
      <c r="C17" t="s">
        <v>70</v>
      </c>
      <c r="D17" t="s">
        <v>37</v>
      </c>
      <c r="E17">
        <v>116218</v>
      </c>
      <c r="F17">
        <v>178.91</v>
      </c>
    </row>
    <row r="18" spans="2:6" x14ac:dyDescent="0.3">
      <c r="B18" s="5">
        <v>44089</v>
      </c>
      <c r="C18" t="s">
        <v>67</v>
      </c>
      <c r="D18" t="s">
        <v>48</v>
      </c>
      <c r="E18">
        <v>43215</v>
      </c>
      <c r="F18">
        <v>212.67</v>
      </c>
    </row>
    <row r="19" spans="2:6" x14ac:dyDescent="0.3">
      <c r="B19" s="5">
        <v>44089</v>
      </c>
      <c r="C19" t="s">
        <v>74</v>
      </c>
      <c r="D19" t="s">
        <v>29</v>
      </c>
      <c r="E19">
        <v>116853</v>
      </c>
      <c r="F19">
        <v>159.78</v>
      </c>
    </row>
    <row r="20" spans="2:6" x14ac:dyDescent="0.3">
      <c r="B20" s="5">
        <v>44089</v>
      </c>
      <c r="C20" t="s">
        <v>68</v>
      </c>
      <c r="D20" t="s">
        <v>19</v>
      </c>
      <c r="E20">
        <v>29439</v>
      </c>
      <c r="F20">
        <v>119.32</v>
      </c>
    </row>
    <row r="21" spans="2:6" x14ac:dyDescent="0.3">
      <c r="B21" s="5">
        <v>44089</v>
      </c>
      <c r="C21" t="s">
        <v>67</v>
      </c>
      <c r="D21" t="s">
        <v>39</v>
      </c>
      <c r="E21">
        <v>88754</v>
      </c>
      <c r="F21">
        <v>84.32</v>
      </c>
    </row>
    <row r="22" spans="2:6" x14ac:dyDescent="0.3">
      <c r="B22" s="5">
        <v>44093</v>
      </c>
      <c r="C22" t="s">
        <v>68</v>
      </c>
      <c r="D22" t="s">
        <v>62</v>
      </c>
      <c r="E22">
        <v>106668</v>
      </c>
      <c r="F22">
        <v>48.88</v>
      </c>
    </row>
    <row r="23" spans="2:6" x14ac:dyDescent="0.3">
      <c r="B23" s="5">
        <v>44094</v>
      </c>
      <c r="C23" t="s">
        <v>74</v>
      </c>
      <c r="D23" t="s">
        <v>23</v>
      </c>
      <c r="E23">
        <v>54472</v>
      </c>
      <c r="F23">
        <v>138.68</v>
      </c>
    </row>
    <row r="24" spans="2:6" x14ac:dyDescent="0.3">
      <c r="B24" s="5">
        <v>44095</v>
      </c>
      <c r="C24" t="s">
        <v>71</v>
      </c>
      <c r="D24" t="s">
        <v>51</v>
      </c>
      <c r="E24">
        <v>80944</v>
      </c>
      <c r="F24">
        <v>81.31</v>
      </c>
    </row>
    <row r="25" spans="2:6" x14ac:dyDescent="0.3">
      <c r="B25" s="5">
        <v>44096</v>
      </c>
      <c r="C25" t="s">
        <v>74</v>
      </c>
      <c r="D25" t="s">
        <v>53</v>
      </c>
      <c r="E25">
        <v>101864</v>
      </c>
      <c r="F25">
        <v>189.04</v>
      </c>
    </row>
    <row r="26" spans="2:6" x14ac:dyDescent="0.3">
      <c r="B26" s="5">
        <v>44097</v>
      </c>
      <c r="C26" t="s">
        <v>68</v>
      </c>
      <c r="D26" t="s">
        <v>29</v>
      </c>
      <c r="E26">
        <v>116853</v>
      </c>
      <c r="F26">
        <v>29.9</v>
      </c>
    </row>
    <row r="27" spans="2:6" x14ac:dyDescent="0.3">
      <c r="B27" s="5">
        <v>44098</v>
      </c>
      <c r="C27" t="s">
        <v>68</v>
      </c>
      <c r="D27" t="s">
        <v>43</v>
      </c>
      <c r="E27">
        <v>116157</v>
      </c>
      <c r="F27">
        <v>155.53</v>
      </c>
    </row>
    <row r="28" spans="2:6" x14ac:dyDescent="0.3">
      <c r="B28" s="5">
        <v>44098</v>
      </c>
      <c r="C28" t="s">
        <v>68</v>
      </c>
      <c r="D28" t="s">
        <v>64</v>
      </c>
      <c r="E28">
        <v>21746</v>
      </c>
      <c r="F28">
        <v>133.88</v>
      </c>
    </row>
    <row r="29" spans="2:6" x14ac:dyDescent="0.3">
      <c r="B29" s="5">
        <v>44099</v>
      </c>
      <c r="C29" t="s">
        <v>73</v>
      </c>
      <c r="D29" t="s">
        <v>51</v>
      </c>
      <c r="E29">
        <v>80944</v>
      </c>
      <c r="F29">
        <v>243.9</v>
      </c>
    </row>
    <row r="30" spans="2:6" x14ac:dyDescent="0.3">
      <c r="B30" s="5">
        <v>44100</v>
      </c>
      <c r="C30" t="s">
        <v>68</v>
      </c>
      <c r="D30" t="s">
        <v>39</v>
      </c>
      <c r="E30">
        <v>88754</v>
      </c>
      <c r="F30">
        <v>149.57</v>
      </c>
    </row>
    <row r="31" spans="2:6" x14ac:dyDescent="0.3">
      <c r="B31" s="5">
        <v>44100</v>
      </c>
      <c r="C31" t="s">
        <v>67</v>
      </c>
      <c r="D31" t="s">
        <v>31</v>
      </c>
      <c r="E31">
        <v>37074</v>
      </c>
      <c r="F31">
        <v>194.13</v>
      </c>
    </row>
    <row r="32" spans="2:6" x14ac:dyDescent="0.3">
      <c r="B32" s="5">
        <v>44101</v>
      </c>
      <c r="C32" t="s">
        <v>72</v>
      </c>
      <c r="D32" t="s">
        <v>29</v>
      </c>
      <c r="E32">
        <v>116853</v>
      </c>
      <c r="F32">
        <v>197.17</v>
      </c>
    </row>
    <row r="33" spans="2:6" x14ac:dyDescent="0.3">
      <c r="B33" s="5">
        <v>44101</v>
      </c>
      <c r="C33" t="s">
        <v>72</v>
      </c>
      <c r="D33" t="s">
        <v>46</v>
      </c>
      <c r="E33">
        <v>46759</v>
      </c>
      <c r="F33">
        <v>137.4</v>
      </c>
    </row>
    <row r="34" spans="2:6" x14ac:dyDescent="0.3">
      <c r="B34" s="5">
        <v>44102</v>
      </c>
      <c r="C34" t="s">
        <v>69</v>
      </c>
      <c r="D34" t="s">
        <v>47</v>
      </c>
      <c r="E34">
        <v>35826</v>
      </c>
      <c r="F34">
        <v>123.94</v>
      </c>
    </row>
    <row r="35" spans="2:6" x14ac:dyDescent="0.3">
      <c r="B35" s="5">
        <v>44102</v>
      </c>
      <c r="C35" t="s">
        <v>73</v>
      </c>
      <c r="D35" t="s">
        <v>37</v>
      </c>
      <c r="E35">
        <v>116218</v>
      </c>
      <c r="F35">
        <v>138.38999999999999</v>
      </c>
    </row>
    <row r="36" spans="2:6" x14ac:dyDescent="0.3">
      <c r="B36" s="5">
        <v>44103</v>
      </c>
      <c r="C36" t="s">
        <v>68</v>
      </c>
      <c r="D36" t="s">
        <v>37</v>
      </c>
      <c r="E36">
        <v>116218</v>
      </c>
      <c r="F36">
        <v>189.12</v>
      </c>
    </row>
    <row r="37" spans="2:6" x14ac:dyDescent="0.3">
      <c r="B37" s="5">
        <v>44103</v>
      </c>
      <c r="C37" t="s">
        <v>74</v>
      </c>
      <c r="D37" t="s">
        <v>24</v>
      </c>
      <c r="E37">
        <v>114916</v>
      </c>
      <c r="F37">
        <v>246.03</v>
      </c>
    </row>
    <row r="38" spans="2:6" x14ac:dyDescent="0.3">
      <c r="B38" s="5">
        <v>44104</v>
      </c>
      <c r="C38" t="s">
        <v>73</v>
      </c>
      <c r="D38" t="s">
        <v>63</v>
      </c>
      <c r="E38">
        <v>104215</v>
      </c>
      <c r="F38">
        <v>175.71</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9B655F-0B75-402B-B7DC-422481BD2C9D}">
  <sheetPr codeName="Sheet26">
    <tabColor rgb="FF0000FF"/>
  </sheetPr>
  <dimension ref="B2:F29"/>
  <sheetViews>
    <sheetView workbookViewId="0">
      <selection activeCell="B5" sqref="B5"/>
    </sheetView>
  </sheetViews>
  <sheetFormatPr defaultRowHeight="14.4" x14ac:dyDescent="0.3"/>
  <cols>
    <col min="2" max="2" width="13.5546875" bestFit="1" customWidth="1"/>
    <col min="3" max="3" width="40.109375" bestFit="1" customWidth="1"/>
    <col min="4" max="4" width="21.109375" bestFit="1" customWidth="1"/>
    <col min="5" max="5" width="17.33203125" customWidth="1"/>
    <col min="6" max="6" width="10.33203125" customWidth="1"/>
  </cols>
  <sheetData>
    <row r="2" spans="2:6" x14ac:dyDescent="0.3">
      <c r="B2" t="s">
        <v>32</v>
      </c>
      <c r="C2" t="str">
        <f>"Ex"&amp;TEXT(B6,"yyyymmm")</f>
        <v>Ex2020Oct</v>
      </c>
    </row>
    <row r="3" spans="2:6" x14ac:dyDescent="0.3">
      <c r="B3" t="s">
        <v>33</v>
      </c>
      <c r="C3" s="7" t="str" cm="1">
        <f t="array" aca="1" ref="C3" ca="1">REPLACE(CELL("filename",A1),1,SEARCH("]",CELL("filename",A1)),"")</f>
        <v>20(10)</v>
      </c>
    </row>
    <row r="5" spans="2:6" x14ac:dyDescent="0.3">
      <c r="B5" s="6" t="s">
        <v>7</v>
      </c>
      <c r="C5" s="6" t="s">
        <v>8</v>
      </c>
      <c r="D5" s="6" t="s">
        <v>9</v>
      </c>
      <c r="E5" s="6" t="s">
        <v>10</v>
      </c>
      <c r="F5" s="6" t="s">
        <v>11</v>
      </c>
    </row>
    <row r="6" spans="2:6" x14ac:dyDescent="0.3">
      <c r="B6" s="5">
        <v>44106</v>
      </c>
      <c r="C6" t="s">
        <v>22</v>
      </c>
      <c r="D6" t="s">
        <v>13</v>
      </c>
      <c r="E6">
        <v>37012</v>
      </c>
      <c r="F6">
        <v>66.47</v>
      </c>
    </row>
    <row r="7" spans="2:6" x14ac:dyDescent="0.3">
      <c r="B7" s="5">
        <v>44109</v>
      </c>
      <c r="C7" t="s">
        <v>14</v>
      </c>
      <c r="D7" t="s">
        <v>51</v>
      </c>
      <c r="E7">
        <v>82964</v>
      </c>
      <c r="F7">
        <v>78.64</v>
      </c>
    </row>
    <row r="8" spans="2:6" x14ac:dyDescent="0.3">
      <c r="B8" s="5">
        <v>44111</v>
      </c>
      <c r="C8" t="s">
        <v>18</v>
      </c>
      <c r="D8" t="s">
        <v>26</v>
      </c>
      <c r="E8">
        <v>62001</v>
      </c>
      <c r="F8">
        <v>57.37</v>
      </c>
    </row>
    <row r="9" spans="2:6" x14ac:dyDescent="0.3">
      <c r="B9" s="5">
        <v>44112</v>
      </c>
      <c r="C9" t="s">
        <v>22</v>
      </c>
      <c r="D9" t="s">
        <v>49</v>
      </c>
      <c r="E9">
        <v>37988</v>
      </c>
      <c r="F9">
        <v>63.23</v>
      </c>
    </row>
    <row r="10" spans="2:6" x14ac:dyDescent="0.3">
      <c r="B10" s="5">
        <v>44113</v>
      </c>
      <c r="C10" t="s">
        <v>18</v>
      </c>
      <c r="D10" t="s">
        <v>37</v>
      </c>
      <c r="E10">
        <v>118238</v>
      </c>
      <c r="F10">
        <v>164.38</v>
      </c>
    </row>
    <row r="11" spans="2:6" x14ac:dyDescent="0.3">
      <c r="B11" s="5">
        <v>44114</v>
      </c>
      <c r="C11" t="s">
        <v>27</v>
      </c>
      <c r="D11" t="s">
        <v>43</v>
      </c>
      <c r="E11">
        <v>118177</v>
      </c>
      <c r="F11">
        <v>124.01</v>
      </c>
    </row>
    <row r="12" spans="2:6" x14ac:dyDescent="0.3">
      <c r="B12" s="5">
        <v>44114</v>
      </c>
      <c r="C12" t="s">
        <v>18</v>
      </c>
      <c r="D12" t="s">
        <v>48</v>
      </c>
      <c r="E12">
        <v>45235</v>
      </c>
      <c r="F12">
        <v>73.91</v>
      </c>
    </row>
    <row r="13" spans="2:6" x14ac:dyDescent="0.3">
      <c r="B13" s="5">
        <v>44117</v>
      </c>
      <c r="C13" t="s">
        <v>12</v>
      </c>
      <c r="D13" t="s">
        <v>31</v>
      </c>
      <c r="E13">
        <v>39094</v>
      </c>
      <c r="F13">
        <v>37.479999999999997</v>
      </c>
    </row>
    <row r="14" spans="2:6" x14ac:dyDescent="0.3">
      <c r="B14" s="5">
        <v>44118</v>
      </c>
      <c r="C14" t="s">
        <v>16</v>
      </c>
      <c r="D14" t="s">
        <v>56</v>
      </c>
      <c r="E14">
        <v>86255</v>
      </c>
      <c r="F14">
        <v>136.4</v>
      </c>
    </row>
    <row r="15" spans="2:6" x14ac:dyDescent="0.3">
      <c r="B15" s="5">
        <v>44125</v>
      </c>
      <c r="C15" t="s">
        <v>20</v>
      </c>
      <c r="D15" t="s">
        <v>13</v>
      </c>
      <c r="E15">
        <v>37012</v>
      </c>
      <c r="F15">
        <v>60.01</v>
      </c>
    </row>
    <row r="16" spans="2:6" x14ac:dyDescent="0.3">
      <c r="B16" s="5">
        <v>44125</v>
      </c>
      <c r="C16" t="s">
        <v>27</v>
      </c>
      <c r="D16" t="s">
        <v>15</v>
      </c>
      <c r="E16">
        <v>43963</v>
      </c>
      <c r="F16">
        <v>108.21</v>
      </c>
    </row>
    <row r="17" spans="2:6" x14ac:dyDescent="0.3">
      <c r="B17" s="5">
        <v>44126</v>
      </c>
      <c r="C17" t="s">
        <v>18</v>
      </c>
      <c r="D17" t="s">
        <v>31</v>
      </c>
      <c r="E17">
        <v>39094</v>
      </c>
      <c r="F17">
        <v>124.79</v>
      </c>
    </row>
    <row r="18" spans="2:6" x14ac:dyDescent="0.3">
      <c r="B18" s="5">
        <v>44126</v>
      </c>
      <c r="C18" t="s">
        <v>20</v>
      </c>
      <c r="D18" t="s">
        <v>13</v>
      </c>
      <c r="E18">
        <v>37012</v>
      </c>
      <c r="F18">
        <v>66</v>
      </c>
    </row>
    <row r="19" spans="2:6" x14ac:dyDescent="0.3">
      <c r="B19" s="5">
        <v>44127</v>
      </c>
      <c r="C19" t="s">
        <v>22</v>
      </c>
      <c r="D19" t="s">
        <v>63</v>
      </c>
      <c r="E19">
        <v>106235</v>
      </c>
      <c r="F19">
        <v>37.880000000000003</v>
      </c>
    </row>
    <row r="20" spans="2:6" x14ac:dyDescent="0.3">
      <c r="B20" s="5">
        <v>44127</v>
      </c>
      <c r="C20" t="s">
        <v>27</v>
      </c>
      <c r="D20" t="s">
        <v>65</v>
      </c>
      <c r="E20">
        <v>20583</v>
      </c>
      <c r="F20">
        <v>13.43</v>
      </c>
    </row>
    <row r="21" spans="2:6" x14ac:dyDescent="0.3">
      <c r="B21" s="5">
        <v>44128</v>
      </c>
      <c r="C21" t="s">
        <v>16</v>
      </c>
      <c r="D21" t="s">
        <v>41</v>
      </c>
      <c r="E21">
        <v>81775</v>
      </c>
      <c r="F21">
        <v>121.39</v>
      </c>
    </row>
    <row r="22" spans="2:6" x14ac:dyDescent="0.3">
      <c r="B22" s="5">
        <v>44129</v>
      </c>
      <c r="C22" t="s">
        <v>22</v>
      </c>
      <c r="D22" t="s">
        <v>47</v>
      </c>
      <c r="E22">
        <v>37846</v>
      </c>
      <c r="F22">
        <v>155.53</v>
      </c>
    </row>
    <row r="23" spans="2:6" x14ac:dyDescent="0.3">
      <c r="B23" s="5">
        <v>44130</v>
      </c>
      <c r="C23" t="s">
        <v>12</v>
      </c>
      <c r="D23" t="s">
        <v>30</v>
      </c>
      <c r="E23">
        <v>48146</v>
      </c>
      <c r="F23">
        <v>148.08000000000001</v>
      </c>
    </row>
    <row r="24" spans="2:6" x14ac:dyDescent="0.3">
      <c r="B24" s="5">
        <v>44130</v>
      </c>
      <c r="C24" t="s">
        <v>12</v>
      </c>
      <c r="D24" t="s">
        <v>43</v>
      </c>
      <c r="E24">
        <v>118177</v>
      </c>
      <c r="F24">
        <v>6.7</v>
      </c>
    </row>
    <row r="25" spans="2:6" x14ac:dyDescent="0.3">
      <c r="B25" s="5">
        <v>44131</v>
      </c>
      <c r="C25" t="s">
        <v>12</v>
      </c>
      <c r="D25" t="s">
        <v>49</v>
      </c>
      <c r="E25">
        <v>37988</v>
      </c>
      <c r="F25">
        <v>49.8</v>
      </c>
    </row>
    <row r="26" spans="2:6" x14ac:dyDescent="0.3">
      <c r="B26" s="5">
        <v>44132</v>
      </c>
      <c r="C26" t="s">
        <v>18</v>
      </c>
      <c r="D26" t="s">
        <v>49</v>
      </c>
      <c r="E26">
        <v>37988</v>
      </c>
      <c r="F26">
        <v>79.67</v>
      </c>
    </row>
    <row r="27" spans="2:6" x14ac:dyDescent="0.3">
      <c r="B27" s="5">
        <v>44132</v>
      </c>
      <c r="C27" t="s">
        <v>27</v>
      </c>
      <c r="D27" t="s">
        <v>49</v>
      </c>
      <c r="E27">
        <v>37988</v>
      </c>
      <c r="F27">
        <v>33.99</v>
      </c>
    </row>
    <row r="28" spans="2:6" x14ac:dyDescent="0.3">
      <c r="B28" s="5">
        <v>44133</v>
      </c>
      <c r="C28" t="s">
        <v>18</v>
      </c>
      <c r="D28" t="s">
        <v>29</v>
      </c>
      <c r="E28">
        <v>118873</v>
      </c>
      <c r="F28">
        <v>74.53</v>
      </c>
    </row>
    <row r="29" spans="2:6" x14ac:dyDescent="0.3">
      <c r="B29" s="5">
        <v>44133</v>
      </c>
      <c r="C29" t="s">
        <v>27</v>
      </c>
      <c r="D29" t="s">
        <v>19</v>
      </c>
      <c r="E29">
        <v>31459</v>
      </c>
      <c r="F29">
        <v>12.22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335954-2F92-48BA-8A1A-75B16F54F183}">
  <sheetPr codeName="Sheet27">
    <tabColor rgb="FF0000FF"/>
  </sheetPr>
  <dimension ref="B2:F18"/>
  <sheetViews>
    <sheetView workbookViewId="0">
      <selection activeCell="B5" sqref="B5"/>
    </sheetView>
  </sheetViews>
  <sheetFormatPr defaultRowHeight="14.4" x14ac:dyDescent="0.3"/>
  <cols>
    <col min="2" max="2" width="13.5546875" bestFit="1" customWidth="1"/>
    <col min="3" max="3" width="34.109375" customWidth="1"/>
    <col min="4" max="4" width="19.6640625" bestFit="1" customWidth="1"/>
    <col min="5" max="5" width="17.33203125" customWidth="1"/>
    <col min="6" max="6" width="10.33203125" customWidth="1"/>
  </cols>
  <sheetData>
    <row r="2" spans="2:6" x14ac:dyDescent="0.3">
      <c r="B2" t="s">
        <v>32</v>
      </c>
      <c r="C2" t="str">
        <f>"Ex"&amp;TEXT(B6,"yyyymmm")</f>
        <v>Ex2020Nov</v>
      </c>
    </row>
    <row r="3" spans="2:6" x14ac:dyDescent="0.3">
      <c r="B3" t="s">
        <v>33</v>
      </c>
      <c r="C3" s="7" t="str" cm="1">
        <f t="array" aca="1" ref="C3" ca="1">REPLACE(CELL("filename",A1),1,SEARCH("]",CELL("filename",A1)),"")</f>
        <v>20(11)</v>
      </c>
    </row>
    <row r="5" spans="2:6" x14ac:dyDescent="0.3">
      <c r="B5" s="6" t="s">
        <v>7</v>
      </c>
      <c r="C5" s="6" t="s">
        <v>8</v>
      </c>
      <c r="D5" s="6" t="s">
        <v>9</v>
      </c>
      <c r="E5" s="6" t="s">
        <v>10</v>
      </c>
      <c r="F5" s="6" t="s">
        <v>11</v>
      </c>
    </row>
    <row r="6" spans="2:6" x14ac:dyDescent="0.3">
      <c r="B6" s="5">
        <v>44137</v>
      </c>
      <c r="C6" t="s">
        <v>42</v>
      </c>
      <c r="D6" t="s">
        <v>49</v>
      </c>
      <c r="E6">
        <v>40008</v>
      </c>
      <c r="F6">
        <v>54.71</v>
      </c>
    </row>
    <row r="7" spans="2:6" x14ac:dyDescent="0.3">
      <c r="B7" s="5">
        <v>44139</v>
      </c>
      <c r="C7" t="s">
        <v>42</v>
      </c>
      <c r="D7" t="s">
        <v>62</v>
      </c>
      <c r="E7">
        <v>110708</v>
      </c>
      <c r="F7">
        <v>30.92</v>
      </c>
    </row>
    <row r="8" spans="2:6" x14ac:dyDescent="0.3">
      <c r="B8" s="5">
        <v>44141</v>
      </c>
      <c r="C8" t="s">
        <v>50</v>
      </c>
      <c r="D8" t="s">
        <v>30</v>
      </c>
      <c r="E8">
        <v>50166</v>
      </c>
      <c r="F8">
        <v>33.9</v>
      </c>
    </row>
    <row r="9" spans="2:6" x14ac:dyDescent="0.3">
      <c r="B9" s="5">
        <v>44142</v>
      </c>
      <c r="C9" t="s">
        <v>34</v>
      </c>
      <c r="D9" t="s">
        <v>28</v>
      </c>
      <c r="E9">
        <v>68678</v>
      </c>
      <c r="F9">
        <v>48.01</v>
      </c>
    </row>
    <row r="10" spans="2:6" x14ac:dyDescent="0.3">
      <c r="B10" s="5">
        <v>44142</v>
      </c>
      <c r="C10" t="s">
        <v>42</v>
      </c>
      <c r="D10" t="s">
        <v>46</v>
      </c>
      <c r="E10">
        <v>50799</v>
      </c>
      <c r="F10">
        <v>49.23</v>
      </c>
    </row>
    <row r="11" spans="2:6" x14ac:dyDescent="0.3">
      <c r="B11" s="5">
        <v>44144</v>
      </c>
      <c r="C11" t="s">
        <v>42</v>
      </c>
      <c r="D11" t="s">
        <v>28</v>
      </c>
      <c r="E11">
        <v>68678</v>
      </c>
      <c r="F11">
        <v>35.33</v>
      </c>
    </row>
    <row r="12" spans="2:6" x14ac:dyDescent="0.3">
      <c r="B12" s="5">
        <v>44144</v>
      </c>
      <c r="C12" t="s">
        <v>52</v>
      </c>
      <c r="D12" t="s">
        <v>65</v>
      </c>
      <c r="E12">
        <v>22603</v>
      </c>
      <c r="F12">
        <v>28.76</v>
      </c>
    </row>
    <row r="13" spans="2:6" x14ac:dyDescent="0.3">
      <c r="B13" s="5">
        <v>44147</v>
      </c>
      <c r="C13" t="s">
        <v>34</v>
      </c>
      <c r="D13" t="s">
        <v>62</v>
      </c>
      <c r="E13">
        <v>110708</v>
      </c>
      <c r="F13">
        <v>37.68</v>
      </c>
    </row>
    <row r="14" spans="2:6" x14ac:dyDescent="0.3">
      <c r="B14" s="5">
        <v>44150</v>
      </c>
      <c r="C14" t="s">
        <v>42</v>
      </c>
      <c r="D14" t="s">
        <v>64</v>
      </c>
      <c r="E14">
        <v>25786</v>
      </c>
      <c r="F14">
        <v>52.75</v>
      </c>
    </row>
    <row r="15" spans="2:6" x14ac:dyDescent="0.3">
      <c r="B15" s="5">
        <v>44150</v>
      </c>
      <c r="C15" t="s">
        <v>38</v>
      </c>
      <c r="D15" t="s">
        <v>41</v>
      </c>
      <c r="E15">
        <v>83795</v>
      </c>
      <c r="F15">
        <v>25.97</v>
      </c>
    </row>
    <row r="16" spans="2:6" x14ac:dyDescent="0.3">
      <c r="B16" s="5">
        <v>44154</v>
      </c>
      <c r="C16" t="s">
        <v>34</v>
      </c>
      <c r="D16" t="s">
        <v>64</v>
      </c>
      <c r="E16">
        <v>25786</v>
      </c>
      <c r="F16">
        <v>34.880000000000003</v>
      </c>
    </row>
    <row r="17" spans="2:6" x14ac:dyDescent="0.3">
      <c r="B17" s="5">
        <v>44163</v>
      </c>
      <c r="C17" t="s">
        <v>34</v>
      </c>
      <c r="D17" t="s">
        <v>56</v>
      </c>
      <c r="E17">
        <v>88275</v>
      </c>
      <c r="F17">
        <v>58.45</v>
      </c>
    </row>
    <row r="18" spans="2:6" x14ac:dyDescent="0.3">
      <c r="B18" s="5">
        <v>44164</v>
      </c>
      <c r="C18" t="s">
        <v>42</v>
      </c>
      <c r="D18" t="s">
        <v>49</v>
      </c>
      <c r="E18">
        <v>40008</v>
      </c>
      <c r="F18">
        <v>51.34</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B0CEE-2E47-4F7A-A337-63C090B5B33C}">
  <sheetPr codeName="Sheet28">
    <tabColor rgb="FF0000FF"/>
  </sheetPr>
  <dimension ref="B2:F15"/>
  <sheetViews>
    <sheetView workbookViewId="0">
      <selection activeCell="B5" sqref="B5"/>
    </sheetView>
  </sheetViews>
  <sheetFormatPr defaultRowHeight="14.4" x14ac:dyDescent="0.3"/>
  <cols>
    <col min="2" max="2" width="13.5546875" bestFit="1" customWidth="1"/>
    <col min="3" max="3" width="34.109375" customWidth="1"/>
    <col min="4" max="4" width="20.109375" bestFit="1" customWidth="1"/>
    <col min="5" max="5" width="17.33203125" customWidth="1"/>
    <col min="6" max="6" width="10.33203125" customWidth="1"/>
  </cols>
  <sheetData>
    <row r="2" spans="2:6" x14ac:dyDescent="0.3">
      <c r="B2" t="s">
        <v>32</v>
      </c>
      <c r="C2" t="str">
        <f>"Ex"&amp;TEXT(B6,"yyyymmm")</f>
        <v>Ex2020Dec</v>
      </c>
    </row>
    <row r="3" spans="2:6" x14ac:dyDescent="0.3">
      <c r="B3" t="s">
        <v>33</v>
      </c>
      <c r="C3" s="7" t="str" cm="1">
        <f t="array" aca="1" ref="C3" ca="1">REPLACE(CELL("filename",A1),1,SEARCH("]",CELL("filename",A1)),"")</f>
        <v>20(12)</v>
      </c>
    </row>
    <row r="5" spans="2:6" x14ac:dyDescent="0.3">
      <c r="B5" s="6" t="s">
        <v>7</v>
      </c>
      <c r="C5" s="6" t="s">
        <v>8</v>
      </c>
      <c r="D5" s="6" t="s">
        <v>9</v>
      </c>
      <c r="E5" s="6" t="s">
        <v>10</v>
      </c>
      <c r="F5" s="6" t="s">
        <v>11</v>
      </c>
    </row>
    <row r="6" spans="2:6" x14ac:dyDescent="0.3">
      <c r="B6" s="5">
        <v>44169</v>
      </c>
      <c r="C6" t="s">
        <v>68</v>
      </c>
      <c r="D6" t="s">
        <v>51</v>
      </c>
      <c r="E6">
        <v>87004</v>
      </c>
      <c r="F6">
        <v>47.75</v>
      </c>
    </row>
    <row r="7" spans="2:6" x14ac:dyDescent="0.3">
      <c r="B7" s="5">
        <v>44169</v>
      </c>
      <c r="C7" t="s">
        <v>67</v>
      </c>
      <c r="D7" t="s">
        <v>21</v>
      </c>
      <c r="E7">
        <v>50880</v>
      </c>
      <c r="F7">
        <v>94.6</v>
      </c>
    </row>
    <row r="8" spans="2:6" x14ac:dyDescent="0.3">
      <c r="B8" s="5">
        <v>44170</v>
      </c>
      <c r="C8" t="s">
        <v>68</v>
      </c>
      <c r="D8" t="s">
        <v>66</v>
      </c>
      <c r="E8">
        <v>84798</v>
      </c>
      <c r="F8">
        <v>117.89</v>
      </c>
    </row>
    <row r="9" spans="2:6" x14ac:dyDescent="0.3">
      <c r="B9" s="5">
        <v>44177</v>
      </c>
      <c r="C9" t="s">
        <v>67</v>
      </c>
      <c r="D9" t="s">
        <v>26</v>
      </c>
      <c r="E9">
        <v>66041</v>
      </c>
      <c r="F9">
        <v>148.38</v>
      </c>
    </row>
    <row r="10" spans="2:6" x14ac:dyDescent="0.3">
      <c r="B10" s="5">
        <v>44179</v>
      </c>
      <c r="C10" t="s">
        <v>74</v>
      </c>
      <c r="D10" t="s">
        <v>60</v>
      </c>
      <c r="E10">
        <v>120874</v>
      </c>
      <c r="F10">
        <v>37.75</v>
      </c>
    </row>
    <row r="11" spans="2:6" x14ac:dyDescent="0.3">
      <c r="B11" s="5">
        <v>44182</v>
      </c>
      <c r="C11" t="s">
        <v>69</v>
      </c>
      <c r="D11" t="s">
        <v>43</v>
      </c>
      <c r="E11">
        <v>122217</v>
      </c>
      <c r="F11">
        <v>77.709999999999994</v>
      </c>
    </row>
    <row r="12" spans="2:6" x14ac:dyDescent="0.3">
      <c r="B12" s="5">
        <v>44183</v>
      </c>
      <c r="C12" t="s">
        <v>74</v>
      </c>
      <c r="D12" t="s">
        <v>26</v>
      </c>
      <c r="E12">
        <v>66041</v>
      </c>
      <c r="F12">
        <v>30.29</v>
      </c>
    </row>
    <row r="13" spans="2:6" x14ac:dyDescent="0.3">
      <c r="B13" s="5">
        <v>44183</v>
      </c>
      <c r="C13" t="s">
        <v>72</v>
      </c>
      <c r="D13" t="s">
        <v>17</v>
      </c>
      <c r="E13">
        <v>78939</v>
      </c>
      <c r="F13">
        <v>11.16</v>
      </c>
    </row>
    <row r="14" spans="2:6" x14ac:dyDescent="0.3">
      <c r="B14" s="5">
        <v>44183</v>
      </c>
      <c r="C14" t="s">
        <v>73</v>
      </c>
      <c r="D14" t="s">
        <v>63</v>
      </c>
      <c r="E14">
        <v>110275</v>
      </c>
      <c r="F14">
        <v>30.44</v>
      </c>
    </row>
    <row r="15" spans="2:6" x14ac:dyDescent="0.3">
      <c r="B15" s="5">
        <v>44186</v>
      </c>
      <c r="C15" t="s">
        <v>70</v>
      </c>
      <c r="D15" t="s">
        <v>53</v>
      </c>
      <c r="E15">
        <v>107924</v>
      </c>
      <c r="F15">
        <v>44.71</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3D2D7-8C98-42E3-A8DF-F9EBB18A0936}">
  <sheetPr>
    <tabColor rgb="FF0000FF"/>
  </sheetPr>
  <dimension ref="B2:F33"/>
  <sheetViews>
    <sheetView workbookViewId="0">
      <selection activeCell="B5" sqref="B5:F33"/>
    </sheetView>
  </sheetViews>
  <sheetFormatPr defaultRowHeight="14.4" x14ac:dyDescent="0.3"/>
  <cols>
    <col min="2" max="2" width="13.5546875" bestFit="1" customWidth="1"/>
    <col min="3" max="3" width="34.109375" customWidth="1"/>
    <col min="4" max="4" width="20.109375" bestFit="1" customWidth="1"/>
    <col min="5" max="5" width="17.33203125" customWidth="1"/>
    <col min="6" max="6" width="10.33203125" customWidth="1"/>
  </cols>
  <sheetData>
    <row r="2" spans="2:6" x14ac:dyDescent="0.3">
      <c r="B2" t="s">
        <v>32</v>
      </c>
      <c r="C2" t="str">
        <f>"Ex"&amp;TEXT(B6,"yyyymmm")</f>
        <v>Ex2021Jan</v>
      </c>
    </row>
    <row r="3" spans="2:6" x14ac:dyDescent="0.3">
      <c r="B3" t="s">
        <v>33</v>
      </c>
      <c r="C3" s="7" t="str" cm="1">
        <f t="array" aca="1" ref="C3" ca="1">REPLACE(CELL("filename",A1),1,SEARCH("]",CELL("filename",A1)),"")</f>
        <v>21(1)</v>
      </c>
    </row>
    <row r="5" spans="2:6" x14ac:dyDescent="0.3">
      <c r="B5" s="6" t="s">
        <v>7</v>
      </c>
      <c r="C5" s="6" t="s">
        <v>8</v>
      </c>
      <c r="D5" s="6" t="s">
        <v>9</v>
      </c>
      <c r="E5" s="6" t="s">
        <v>10</v>
      </c>
      <c r="F5" s="6" t="s">
        <v>11</v>
      </c>
    </row>
    <row r="6" spans="2:6" x14ac:dyDescent="0.3">
      <c r="B6" s="5">
        <v>44198</v>
      </c>
      <c r="C6" t="s">
        <v>12</v>
      </c>
      <c r="D6" t="s">
        <v>36</v>
      </c>
      <c r="E6">
        <v>18010</v>
      </c>
      <c r="F6">
        <v>92.98</v>
      </c>
    </row>
    <row r="7" spans="2:6" x14ac:dyDescent="0.3">
      <c r="B7" s="5">
        <v>44198</v>
      </c>
      <c r="C7" t="s">
        <v>27</v>
      </c>
      <c r="D7" t="s">
        <v>26</v>
      </c>
      <c r="E7">
        <v>43822</v>
      </c>
      <c r="F7">
        <v>242.63</v>
      </c>
    </row>
    <row r="8" spans="2:6" x14ac:dyDescent="0.3">
      <c r="B8" s="5">
        <v>44198</v>
      </c>
      <c r="C8" t="s">
        <v>12</v>
      </c>
      <c r="D8" t="s">
        <v>19</v>
      </c>
      <c r="E8">
        <v>13280</v>
      </c>
      <c r="F8">
        <v>396.88</v>
      </c>
    </row>
    <row r="9" spans="2:6" x14ac:dyDescent="0.3">
      <c r="B9" s="5">
        <v>44202</v>
      </c>
      <c r="C9" t="s">
        <v>22</v>
      </c>
      <c r="D9" t="s">
        <v>28</v>
      </c>
      <c r="E9">
        <v>48479</v>
      </c>
      <c r="F9">
        <v>391.89</v>
      </c>
    </row>
    <row r="10" spans="2:6" x14ac:dyDescent="0.3">
      <c r="B10" s="5">
        <v>44203</v>
      </c>
      <c r="C10" t="s">
        <v>22</v>
      </c>
      <c r="D10" t="s">
        <v>30</v>
      </c>
      <c r="E10">
        <v>29967</v>
      </c>
      <c r="F10">
        <v>302.81</v>
      </c>
    </row>
    <row r="11" spans="2:6" x14ac:dyDescent="0.3">
      <c r="B11" s="5">
        <v>44203</v>
      </c>
      <c r="C11" t="s">
        <v>16</v>
      </c>
      <c r="D11" t="s">
        <v>29</v>
      </c>
      <c r="E11">
        <v>100694</v>
      </c>
      <c r="F11">
        <v>212.35</v>
      </c>
    </row>
    <row r="12" spans="2:6" x14ac:dyDescent="0.3">
      <c r="B12" s="5">
        <v>44203</v>
      </c>
      <c r="C12" t="s">
        <v>20</v>
      </c>
      <c r="D12" t="s">
        <v>31</v>
      </c>
      <c r="E12">
        <v>20915</v>
      </c>
      <c r="F12">
        <v>158.82</v>
      </c>
    </row>
    <row r="13" spans="2:6" x14ac:dyDescent="0.3">
      <c r="B13" s="5">
        <v>44204</v>
      </c>
      <c r="C13" t="s">
        <v>16</v>
      </c>
      <c r="D13" t="s">
        <v>41</v>
      </c>
      <c r="E13">
        <v>63596</v>
      </c>
      <c r="F13">
        <v>214.46</v>
      </c>
    </row>
    <row r="14" spans="2:6" x14ac:dyDescent="0.3">
      <c r="B14" s="5">
        <v>44204</v>
      </c>
      <c r="C14" t="s">
        <v>25</v>
      </c>
      <c r="D14" t="s">
        <v>17</v>
      </c>
      <c r="E14">
        <v>56720</v>
      </c>
      <c r="F14">
        <v>148.46</v>
      </c>
    </row>
    <row r="15" spans="2:6" x14ac:dyDescent="0.3">
      <c r="B15" s="5">
        <v>44206</v>
      </c>
      <c r="C15" t="s">
        <v>18</v>
      </c>
      <c r="D15" t="s">
        <v>48</v>
      </c>
      <c r="E15">
        <v>27056</v>
      </c>
      <c r="F15">
        <v>183.06</v>
      </c>
    </row>
    <row r="16" spans="2:6" x14ac:dyDescent="0.3">
      <c r="B16" s="5">
        <v>44210</v>
      </c>
      <c r="C16" t="s">
        <v>20</v>
      </c>
      <c r="D16" t="s">
        <v>15</v>
      </c>
      <c r="E16">
        <v>25784</v>
      </c>
      <c r="F16">
        <v>339.7</v>
      </c>
    </row>
    <row r="17" spans="2:6" x14ac:dyDescent="0.3">
      <c r="B17" s="5">
        <v>44211</v>
      </c>
      <c r="C17" t="s">
        <v>22</v>
      </c>
      <c r="D17" t="s">
        <v>49</v>
      </c>
      <c r="E17">
        <v>19809</v>
      </c>
      <c r="F17">
        <v>252.9</v>
      </c>
    </row>
    <row r="18" spans="2:6" x14ac:dyDescent="0.3">
      <c r="B18" s="5">
        <v>44212</v>
      </c>
      <c r="C18" t="s">
        <v>22</v>
      </c>
      <c r="D18" t="s">
        <v>65</v>
      </c>
      <c r="E18">
        <v>2404</v>
      </c>
      <c r="F18">
        <v>250.47</v>
      </c>
    </row>
    <row r="19" spans="2:6" x14ac:dyDescent="0.3">
      <c r="B19" s="5">
        <v>44215</v>
      </c>
      <c r="C19" t="s">
        <v>25</v>
      </c>
      <c r="D19" t="s">
        <v>37</v>
      </c>
      <c r="E19">
        <v>100059</v>
      </c>
      <c r="F19">
        <v>228.75</v>
      </c>
    </row>
    <row r="20" spans="2:6" x14ac:dyDescent="0.3">
      <c r="B20" s="5">
        <v>44215</v>
      </c>
      <c r="C20" t="s">
        <v>20</v>
      </c>
      <c r="D20" t="s">
        <v>28</v>
      </c>
      <c r="E20">
        <v>48479</v>
      </c>
      <c r="F20">
        <v>92.03</v>
      </c>
    </row>
    <row r="21" spans="2:6" x14ac:dyDescent="0.3">
      <c r="B21" s="5">
        <v>44215</v>
      </c>
      <c r="C21" t="s">
        <v>18</v>
      </c>
      <c r="D21" t="s">
        <v>29</v>
      </c>
      <c r="E21">
        <v>100694</v>
      </c>
      <c r="F21">
        <v>122.15</v>
      </c>
    </row>
    <row r="22" spans="2:6" x14ac:dyDescent="0.3">
      <c r="B22" s="5">
        <v>44216</v>
      </c>
      <c r="C22" t="s">
        <v>27</v>
      </c>
      <c r="D22" t="s">
        <v>64</v>
      </c>
      <c r="E22">
        <v>5587</v>
      </c>
      <c r="F22">
        <v>150.18</v>
      </c>
    </row>
    <row r="23" spans="2:6" x14ac:dyDescent="0.3">
      <c r="B23" s="5">
        <v>44216</v>
      </c>
      <c r="C23" t="s">
        <v>16</v>
      </c>
      <c r="D23" t="s">
        <v>13</v>
      </c>
      <c r="E23">
        <v>18833</v>
      </c>
      <c r="F23">
        <v>237.62</v>
      </c>
    </row>
    <row r="24" spans="2:6" x14ac:dyDescent="0.3">
      <c r="B24" s="5">
        <v>44216</v>
      </c>
      <c r="C24" t="s">
        <v>27</v>
      </c>
      <c r="D24" t="s">
        <v>19</v>
      </c>
      <c r="E24">
        <v>13280</v>
      </c>
      <c r="F24">
        <v>84.66</v>
      </c>
    </row>
    <row r="25" spans="2:6" x14ac:dyDescent="0.3">
      <c r="B25" s="5">
        <v>44216</v>
      </c>
      <c r="C25" t="s">
        <v>22</v>
      </c>
      <c r="D25" t="s">
        <v>17</v>
      </c>
      <c r="E25">
        <v>56720</v>
      </c>
      <c r="F25">
        <v>307.47000000000003</v>
      </c>
    </row>
    <row r="26" spans="2:6" x14ac:dyDescent="0.3">
      <c r="B26" s="5">
        <v>44218</v>
      </c>
      <c r="C26" t="s">
        <v>27</v>
      </c>
      <c r="D26" t="s">
        <v>48</v>
      </c>
      <c r="E26">
        <v>27056</v>
      </c>
      <c r="F26">
        <v>213.54</v>
      </c>
    </row>
    <row r="27" spans="2:6" x14ac:dyDescent="0.3">
      <c r="B27" s="5">
        <v>44219</v>
      </c>
      <c r="C27" t="s">
        <v>12</v>
      </c>
      <c r="D27" t="s">
        <v>36</v>
      </c>
      <c r="E27">
        <v>18010</v>
      </c>
      <c r="F27">
        <v>283</v>
      </c>
    </row>
    <row r="28" spans="2:6" x14ac:dyDescent="0.3">
      <c r="B28" s="5">
        <v>44220</v>
      </c>
      <c r="C28" t="s">
        <v>14</v>
      </c>
      <c r="D28" t="s">
        <v>49</v>
      </c>
      <c r="E28">
        <v>19809</v>
      </c>
      <c r="F28">
        <v>261.8</v>
      </c>
    </row>
    <row r="29" spans="2:6" x14ac:dyDescent="0.3">
      <c r="B29" s="5">
        <v>44224</v>
      </c>
      <c r="C29" t="s">
        <v>22</v>
      </c>
      <c r="D29" t="s">
        <v>46</v>
      </c>
      <c r="E29">
        <v>30600</v>
      </c>
      <c r="F29">
        <v>337.61</v>
      </c>
    </row>
    <row r="30" spans="2:6" x14ac:dyDescent="0.3">
      <c r="B30" s="5">
        <v>44225</v>
      </c>
      <c r="C30" t="s">
        <v>27</v>
      </c>
      <c r="D30" t="s">
        <v>37</v>
      </c>
      <c r="E30">
        <v>100059</v>
      </c>
      <c r="F30">
        <v>397.96</v>
      </c>
    </row>
    <row r="31" spans="2:6" x14ac:dyDescent="0.3">
      <c r="B31" s="5">
        <v>44225</v>
      </c>
      <c r="C31" t="s">
        <v>27</v>
      </c>
      <c r="D31" t="s">
        <v>48</v>
      </c>
      <c r="E31">
        <v>27056</v>
      </c>
      <c r="F31">
        <v>344.21</v>
      </c>
    </row>
    <row r="32" spans="2:6" x14ac:dyDescent="0.3">
      <c r="B32" s="5">
        <v>44226</v>
      </c>
      <c r="C32" t="s">
        <v>22</v>
      </c>
      <c r="D32" t="s">
        <v>37</v>
      </c>
      <c r="E32">
        <v>100059</v>
      </c>
      <c r="F32">
        <v>278.27999999999997</v>
      </c>
    </row>
    <row r="33" spans="2:6" x14ac:dyDescent="0.3">
      <c r="B33" s="5">
        <v>44227</v>
      </c>
      <c r="C33" t="s">
        <v>12</v>
      </c>
      <c r="D33" t="s">
        <v>23</v>
      </c>
      <c r="E33">
        <v>38313</v>
      </c>
      <c r="F33">
        <v>212.66</v>
      </c>
    </row>
  </sheetData>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321BD-04DC-4FFC-8F19-72A750D01325}">
  <sheetPr>
    <tabColor rgb="FF0000FF"/>
  </sheetPr>
  <dimension ref="B2:F44"/>
  <sheetViews>
    <sheetView workbookViewId="0">
      <selection activeCell="B5" sqref="B5:F44"/>
    </sheetView>
  </sheetViews>
  <sheetFormatPr defaultRowHeight="14.4" x14ac:dyDescent="0.3"/>
  <cols>
    <col min="2" max="2" width="13.5546875" bestFit="1" customWidth="1"/>
    <col min="3" max="3" width="34.109375" customWidth="1"/>
    <col min="4" max="4" width="20.109375" bestFit="1" customWidth="1"/>
    <col min="5" max="5" width="17.33203125" customWidth="1"/>
    <col min="6" max="6" width="10.33203125" customWidth="1"/>
  </cols>
  <sheetData>
    <row r="2" spans="2:6" x14ac:dyDescent="0.3">
      <c r="B2" t="s">
        <v>32</v>
      </c>
      <c r="C2" t="str">
        <f>"Ex"&amp;TEXT(B6,"yyyymmm")</f>
        <v>Ex2021Feb</v>
      </c>
    </row>
    <row r="3" spans="2:6" x14ac:dyDescent="0.3">
      <c r="B3" t="s">
        <v>33</v>
      </c>
      <c r="C3" s="7" t="str" cm="1">
        <f t="array" aca="1" ref="C3" ca="1">REPLACE(CELL("filename",A1),1,SEARCH("]",CELL("filename",A1)),"")</f>
        <v>21(2)</v>
      </c>
    </row>
    <row r="5" spans="2:6" x14ac:dyDescent="0.3">
      <c r="B5" s="6" t="s">
        <v>7</v>
      </c>
      <c r="C5" s="6" t="s">
        <v>8</v>
      </c>
      <c r="D5" s="6" t="s">
        <v>9</v>
      </c>
      <c r="E5" s="6" t="s">
        <v>10</v>
      </c>
      <c r="F5" s="6" t="s">
        <v>11</v>
      </c>
    </row>
    <row r="6" spans="2:6" x14ac:dyDescent="0.3">
      <c r="B6" s="5">
        <v>44228</v>
      </c>
      <c r="C6" t="s">
        <v>44</v>
      </c>
      <c r="D6" t="s">
        <v>36</v>
      </c>
      <c r="E6">
        <v>20031</v>
      </c>
      <c r="F6">
        <v>512.96</v>
      </c>
    </row>
    <row r="7" spans="2:6" x14ac:dyDescent="0.3">
      <c r="B7" s="5">
        <v>44228</v>
      </c>
      <c r="C7" t="s">
        <v>42</v>
      </c>
      <c r="D7" t="s">
        <v>23</v>
      </c>
      <c r="E7">
        <v>40334</v>
      </c>
      <c r="F7">
        <v>571.74</v>
      </c>
    </row>
    <row r="8" spans="2:6" x14ac:dyDescent="0.3">
      <c r="B8" s="5">
        <v>44230</v>
      </c>
      <c r="C8" t="s">
        <v>35</v>
      </c>
      <c r="D8" t="s">
        <v>17</v>
      </c>
      <c r="E8">
        <v>58741</v>
      </c>
      <c r="F8">
        <v>595.05999999999995</v>
      </c>
    </row>
    <row r="9" spans="2:6" x14ac:dyDescent="0.3">
      <c r="B9" s="5">
        <v>44231</v>
      </c>
      <c r="C9" t="s">
        <v>38</v>
      </c>
      <c r="D9" t="s">
        <v>43</v>
      </c>
      <c r="E9">
        <v>102019</v>
      </c>
      <c r="F9">
        <v>390.68</v>
      </c>
    </row>
    <row r="10" spans="2:6" x14ac:dyDescent="0.3">
      <c r="B10" s="5">
        <v>44231</v>
      </c>
      <c r="C10" t="s">
        <v>44</v>
      </c>
      <c r="D10" t="s">
        <v>64</v>
      </c>
      <c r="E10">
        <v>7608</v>
      </c>
      <c r="F10">
        <v>271.76</v>
      </c>
    </row>
    <row r="11" spans="2:6" x14ac:dyDescent="0.3">
      <c r="B11" s="5">
        <v>44231</v>
      </c>
      <c r="C11" t="s">
        <v>52</v>
      </c>
      <c r="D11" t="s">
        <v>66</v>
      </c>
      <c r="E11">
        <v>64600</v>
      </c>
      <c r="F11">
        <v>328.08</v>
      </c>
    </row>
    <row r="12" spans="2:6" x14ac:dyDescent="0.3">
      <c r="B12" s="5">
        <v>44233</v>
      </c>
      <c r="C12" t="s">
        <v>34</v>
      </c>
      <c r="D12" t="s">
        <v>31</v>
      </c>
      <c r="E12">
        <v>22936</v>
      </c>
      <c r="F12">
        <v>392.74</v>
      </c>
    </row>
    <row r="13" spans="2:6" x14ac:dyDescent="0.3">
      <c r="B13" s="5">
        <v>44234</v>
      </c>
      <c r="C13" t="s">
        <v>44</v>
      </c>
      <c r="D13" t="s">
        <v>36</v>
      </c>
      <c r="E13">
        <v>20031</v>
      </c>
      <c r="F13">
        <v>541.32000000000005</v>
      </c>
    </row>
    <row r="14" spans="2:6" x14ac:dyDescent="0.3">
      <c r="B14" s="5">
        <v>44235</v>
      </c>
      <c r="C14" t="s">
        <v>44</v>
      </c>
      <c r="D14" t="s">
        <v>49</v>
      </c>
      <c r="E14">
        <v>21830</v>
      </c>
      <c r="F14">
        <v>379.24</v>
      </c>
    </row>
    <row r="15" spans="2:6" x14ac:dyDescent="0.3">
      <c r="B15" s="5">
        <v>44235</v>
      </c>
      <c r="C15" t="s">
        <v>35</v>
      </c>
      <c r="D15" t="s">
        <v>36</v>
      </c>
      <c r="E15">
        <v>20031</v>
      </c>
      <c r="F15">
        <v>395.37</v>
      </c>
    </row>
    <row r="16" spans="2:6" x14ac:dyDescent="0.3">
      <c r="B16" s="5">
        <v>44235</v>
      </c>
      <c r="C16" t="s">
        <v>52</v>
      </c>
      <c r="D16" t="s">
        <v>24</v>
      </c>
      <c r="E16">
        <v>100778</v>
      </c>
      <c r="F16">
        <v>426.66</v>
      </c>
    </row>
    <row r="17" spans="2:6" x14ac:dyDescent="0.3">
      <c r="B17" s="5">
        <v>44238</v>
      </c>
      <c r="C17" t="s">
        <v>52</v>
      </c>
      <c r="D17" t="s">
        <v>53</v>
      </c>
      <c r="E17">
        <v>87726</v>
      </c>
      <c r="F17">
        <v>321.77</v>
      </c>
    </row>
    <row r="18" spans="2:6" x14ac:dyDescent="0.3">
      <c r="B18" s="5">
        <v>44239</v>
      </c>
      <c r="C18" t="s">
        <v>52</v>
      </c>
      <c r="D18" t="s">
        <v>36</v>
      </c>
      <c r="E18">
        <v>20031</v>
      </c>
      <c r="F18">
        <v>459.23</v>
      </c>
    </row>
    <row r="19" spans="2:6" x14ac:dyDescent="0.3">
      <c r="B19" s="5">
        <v>44239</v>
      </c>
      <c r="C19" t="s">
        <v>34</v>
      </c>
      <c r="D19" t="s">
        <v>45</v>
      </c>
      <c r="E19">
        <v>77404</v>
      </c>
      <c r="F19">
        <v>404.34</v>
      </c>
    </row>
    <row r="20" spans="2:6" x14ac:dyDescent="0.3">
      <c r="B20" s="5">
        <v>44240</v>
      </c>
      <c r="C20" t="s">
        <v>50</v>
      </c>
      <c r="D20" t="s">
        <v>60</v>
      </c>
      <c r="E20">
        <v>100676</v>
      </c>
      <c r="F20">
        <v>562.44000000000005</v>
      </c>
    </row>
    <row r="21" spans="2:6" x14ac:dyDescent="0.3">
      <c r="B21" s="5">
        <v>44242</v>
      </c>
      <c r="C21" t="s">
        <v>34</v>
      </c>
      <c r="D21" t="s">
        <v>26</v>
      </c>
      <c r="E21">
        <v>45843</v>
      </c>
      <c r="F21">
        <v>571.65</v>
      </c>
    </row>
    <row r="22" spans="2:6" x14ac:dyDescent="0.3">
      <c r="B22" s="5">
        <v>44244</v>
      </c>
      <c r="C22" t="s">
        <v>42</v>
      </c>
      <c r="D22" t="s">
        <v>28</v>
      </c>
      <c r="E22">
        <v>50500</v>
      </c>
      <c r="F22">
        <v>458.32</v>
      </c>
    </row>
    <row r="23" spans="2:6" x14ac:dyDescent="0.3">
      <c r="B23" s="5">
        <v>44245</v>
      </c>
      <c r="C23" t="s">
        <v>50</v>
      </c>
      <c r="D23" t="s">
        <v>29</v>
      </c>
      <c r="E23">
        <v>102715</v>
      </c>
      <c r="F23">
        <v>580.29999999999995</v>
      </c>
    </row>
    <row r="24" spans="2:6" x14ac:dyDescent="0.3">
      <c r="B24" s="5">
        <v>44246</v>
      </c>
      <c r="C24" t="s">
        <v>35</v>
      </c>
      <c r="D24" t="s">
        <v>23</v>
      </c>
      <c r="E24">
        <v>40334</v>
      </c>
      <c r="F24">
        <v>349.54</v>
      </c>
    </row>
    <row r="25" spans="2:6" x14ac:dyDescent="0.3">
      <c r="B25" s="5">
        <v>44247</v>
      </c>
      <c r="C25" t="s">
        <v>34</v>
      </c>
      <c r="D25" t="s">
        <v>65</v>
      </c>
      <c r="E25">
        <v>4425</v>
      </c>
      <c r="F25">
        <v>387.12</v>
      </c>
    </row>
    <row r="26" spans="2:6" x14ac:dyDescent="0.3">
      <c r="B26" s="5">
        <v>44248</v>
      </c>
      <c r="C26" t="s">
        <v>34</v>
      </c>
      <c r="D26" t="s">
        <v>24</v>
      </c>
      <c r="E26">
        <v>100778</v>
      </c>
      <c r="F26">
        <v>532.47</v>
      </c>
    </row>
    <row r="27" spans="2:6" x14ac:dyDescent="0.3">
      <c r="B27" s="5">
        <v>44248</v>
      </c>
      <c r="C27" t="s">
        <v>34</v>
      </c>
      <c r="D27" t="s">
        <v>53</v>
      </c>
      <c r="E27">
        <v>87726</v>
      </c>
      <c r="F27">
        <v>418.01</v>
      </c>
    </row>
    <row r="28" spans="2:6" x14ac:dyDescent="0.3">
      <c r="B28" s="5">
        <v>44249</v>
      </c>
      <c r="C28" t="s">
        <v>34</v>
      </c>
      <c r="D28" t="s">
        <v>51</v>
      </c>
      <c r="E28">
        <v>66806</v>
      </c>
      <c r="F28">
        <v>355.71</v>
      </c>
    </row>
    <row r="29" spans="2:6" x14ac:dyDescent="0.3">
      <c r="B29" s="5">
        <v>44249</v>
      </c>
      <c r="C29" t="s">
        <v>44</v>
      </c>
      <c r="D29" t="s">
        <v>46</v>
      </c>
      <c r="E29">
        <v>32621</v>
      </c>
      <c r="F29">
        <v>251.67</v>
      </c>
    </row>
    <row r="30" spans="2:6" x14ac:dyDescent="0.3">
      <c r="B30" s="5">
        <v>44250</v>
      </c>
      <c r="C30" t="s">
        <v>38</v>
      </c>
      <c r="D30" t="s">
        <v>19</v>
      </c>
      <c r="E30">
        <v>15301</v>
      </c>
      <c r="F30">
        <v>366.69</v>
      </c>
    </row>
    <row r="31" spans="2:6" x14ac:dyDescent="0.3">
      <c r="B31" s="5">
        <v>44250</v>
      </c>
      <c r="C31" t="s">
        <v>44</v>
      </c>
      <c r="D31" t="s">
        <v>62</v>
      </c>
      <c r="E31">
        <v>92530</v>
      </c>
      <c r="F31">
        <v>468.2</v>
      </c>
    </row>
    <row r="32" spans="2:6" x14ac:dyDescent="0.3">
      <c r="B32" s="5">
        <v>44250</v>
      </c>
      <c r="C32" t="s">
        <v>40</v>
      </c>
      <c r="D32" t="s">
        <v>43</v>
      </c>
      <c r="E32">
        <v>102019</v>
      </c>
      <c r="F32">
        <v>521.35</v>
      </c>
    </row>
    <row r="33" spans="2:6" x14ac:dyDescent="0.3">
      <c r="B33" s="5">
        <v>44250</v>
      </c>
      <c r="C33" t="s">
        <v>38</v>
      </c>
      <c r="D33" t="s">
        <v>30</v>
      </c>
      <c r="E33">
        <v>31988</v>
      </c>
      <c r="F33">
        <v>353.82</v>
      </c>
    </row>
    <row r="34" spans="2:6" x14ac:dyDescent="0.3">
      <c r="B34" s="5">
        <v>44251</v>
      </c>
      <c r="C34" t="s">
        <v>38</v>
      </c>
      <c r="D34" t="s">
        <v>31</v>
      </c>
      <c r="E34">
        <v>22936</v>
      </c>
      <c r="F34">
        <v>342.37</v>
      </c>
    </row>
    <row r="35" spans="2:6" x14ac:dyDescent="0.3">
      <c r="B35" s="5">
        <v>44252</v>
      </c>
      <c r="C35" t="s">
        <v>35</v>
      </c>
      <c r="D35" t="s">
        <v>53</v>
      </c>
      <c r="E35">
        <v>87726</v>
      </c>
      <c r="F35">
        <v>369.07</v>
      </c>
    </row>
    <row r="36" spans="2:6" x14ac:dyDescent="0.3">
      <c r="B36" s="5">
        <v>44252</v>
      </c>
      <c r="C36" t="s">
        <v>50</v>
      </c>
      <c r="D36" t="s">
        <v>64</v>
      </c>
      <c r="E36">
        <v>7608</v>
      </c>
      <c r="F36">
        <v>308.70999999999998</v>
      </c>
    </row>
    <row r="37" spans="2:6" x14ac:dyDescent="0.3">
      <c r="B37" s="5">
        <v>44252</v>
      </c>
      <c r="C37" t="s">
        <v>35</v>
      </c>
      <c r="D37" t="s">
        <v>48</v>
      </c>
      <c r="E37">
        <v>29077</v>
      </c>
      <c r="F37">
        <v>343.16</v>
      </c>
    </row>
    <row r="38" spans="2:6" x14ac:dyDescent="0.3">
      <c r="B38" s="5">
        <v>44252</v>
      </c>
      <c r="C38" t="s">
        <v>34</v>
      </c>
      <c r="D38" t="s">
        <v>49</v>
      </c>
      <c r="E38">
        <v>21830</v>
      </c>
      <c r="F38">
        <v>386.52</v>
      </c>
    </row>
    <row r="39" spans="2:6" x14ac:dyDescent="0.3">
      <c r="B39" s="5">
        <v>44253</v>
      </c>
      <c r="C39" t="s">
        <v>42</v>
      </c>
      <c r="D39" t="s">
        <v>37</v>
      </c>
      <c r="E39">
        <v>102080</v>
      </c>
      <c r="F39">
        <v>427.43</v>
      </c>
    </row>
    <row r="40" spans="2:6" x14ac:dyDescent="0.3">
      <c r="B40" s="5">
        <v>44253</v>
      </c>
      <c r="C40" t="s">
        <v>52</v>
      </c>
      <c r="D40" t="s">
        <v>39</v>
      </c>
      <c r="E40">
        <v>74616</v>
      </c>
      <c r="F40">
        <v>425.73</v>
      </c>
    </row>
    <row r="41" spans="2:6" x14ac:dyDescent="0.3">
      <c r="B41" s="5">
        <v>44254</v>
      </c>
      <c r="C41" t="s">
        <v>50</v>
      </c>
      <c r="D41" t="s">
        <v>60</v>
      </c>
      <c r="E41">
        <v>100676</v>
      </c>
      <c r="F41">
        <v>350.11</v>
      </c>
    </row>
    <row r="42" spans="2:6" x14ac:dyDescent="0.3">
      <c r="B42" s="5">
        <v>44254</v>
      </c>
      <c r="C42" t="s">
        <v>34</v>
      </c>
      <c r="D42" t="s">
        <v>31</v>
      </c>
      <c r="E42">
        <v>22936</v>
      </c>
      <c r="F42">
        <v>354.48</v>
      </c>
    </row>
    <row r="43" spans="2:6" x14ac:dyDescent="0.3">
      <c r="B43" s="5">
        <v>44255</v>
      </c>
      <c r="C43" t="s">
        <v>35</v>
      </c>
      <c r="D43" t="s">
        <v>65</v>
      </c>
      <c r="E43">
        <v>4425</v>
      </c>
      <c r="F43">
        <v>423.66</v>
      </c>
    </row>
    <row r="44" spans="2:6" x14ac:dyDescent="0.3">
      <c r="B44" s="5">
        <v>44255</v>
      </c>
      <c r="C44" t="s">
        <v>44</v>
      </c>
      <c r="D44" t="s">
        <v>51</v>
      </c>
      <c r="E44">
        <v>66806</v>
      </c>
      <c r="F44">
        <v>397.34</v>
      </c>
    </row>
  </sheetData>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49CBC-949F-4379-80E1-41C1B0F51D0B}">
  <sheetPr>
    <tabColor rgb="FF0000FF"/>
  </sheetPr>
  <dimension ref="B2:F48"/>
  <sheetViews>
    <sheetView workbookViewId="0">
      <selection activeCell="J15" sqref="J15"/>
    </sheetView>
  </sheetViews>
  <sheetFormatPr defaultRowHeight="14.4" x14ac:dyDescent="0.3"/>
  <cols>
    <col min="2" max="2" width="13.5546875" bestFit="1" customWidth="1"/>
    <col min="3" max="3" width="34.109375" customWidth="1"/>
    <col min="4" max="4" width="20.109375" bestFit="1" customWidth="1"/>
    <col min="5" max="5" width="17.33203125" customWidth="1"/>
    <col min="6" max="6" width="10.33203125" customWidth="1"/>
  </cols>
  <sheetData>
    <row r="2" spans="2:6" x14ac:dyDescent="0.3">
      <c r="B2" t="s">
        <v>32</v>
      </c>
      <c r="C2" t="str">
        <f>"Ex"&amp;TEXT(B6,"yyyymmm")</f>
        <v>Ex2021Mar</v>
      </c>
    </row>
    <row r="3" spans="2:6" x14ac:dyDescent="0.3">
      <c r="B3" t="s">
        <v>33</v>
      </c>
      <c r="C3" s="7" t="str" cm="1">
        <f t="array" aca="1" ref="C3" ca="1">REPLACE(CELL("filename",A1),1,SEARCH("]",CELL("filename",A1)),"")</f>
        <v>21(3)</v>
      </c>
    </row>
    <row r="5" spans="2:6" x14ac:dyDescent="0.3">
      <c r="B5" s="6" t="s">
        <v>7</v>
      </c>
      <c r="C5" s="6" t="s">
        <v>8</v>
      </c>
      <c r="D5" s="6" t="s">
        <v>9</v>
      </c>
      <c r="E5" s="6" t="s">
        <v>10</v>
      </c>
      <c r="F5" s="6" t="s">
        <v>11</v>
      </c>
    </row>
    <row r="6" spans="2:6" x14ac:dyDescent="0.3">
      <c r="B6" s="5">
        <v>44257</v>
      </c>
      <c r="C6" t="s">
        <v>52</v>
      </c>
      <c r="D6" t="s">
        <v>45</v>
      </c>
      <c r="E6">
        <v>79425</v>
      </c>
      <c r="F6">
        <v>994.79</v>
      </c>
    </row>
    <row r="7" spans="2:6" x14ac:dyDescent="0.3">
      <c r="B7" s="5">
        <v>44260</v>
      </c>
      <c r="C7" t="s">
        <v>52</v>
      </c>
      <c r="D7" t="s">
        <v>13</v>
      </c>
      <c r="E7">
        <v>22875</v>
      </c>
      <c r="F7">
        <v>446.99</v>
      </c>
    </row>
    <row r="8" spans="2:6" x14ac:dyDescent="0.3">
      <c r="B8" s="5">
        <v>44260</v>
      </c>
      <c r="C8" t="s">
        <v>44</v>
      </c>
      <c r="D8" t="s">
        <v>60</v>
      </c>
      <c r="E8">
        <v>102697</v>
      </c>
      <c r="F8">
        <v>170.06</v>
      </c>
    </row>
    <row r="9" spans="2:6" x14ac:dyDescent="0.3">
      <c r="B9" s="5">
        <v>44261</v>
      </c>
      <c r="C9" t="s">
        <v>38</v>
      </c>
      <c r="D9" t="s">
        <v>53</v>
      </c>
      <c r="E9">
        <v>89747</v>
      </c>
      <c r="F9">
        <v>443.77</v>
      </c>
    </row>
    <row r="10" spans="2:6" x14ac:dyDescent="0.3">
      <c r="B10" s="5">
        <v>44262</v>
      </c>
      <c r="C10" t="s">
        <v>34</v>
      </c>
      <c r="D10" t="s">
        <v>65</v>
      </c>
      <c r="E10">
        <v>6446</v>
      </c>
      <c r="F10">
        <v>559.01</v>
      </c>
    </row>
    <row r="11" spans="2:6" x14ac:dyDescent="0.3">
      <c r="B11" s="5">
        <v>44263</v>
      </c>
      <c r="C11" t="s">
        <v>42</v>
      </c>
      <c r="D11" t="s">
        <v>28</v>
      </c>
      <c r="E11">
        <v>52521</v>
      </c>
      <c r="F11">
        <v>284.64</v>
      </c>
    </row>
    <row r="12" spans="2:6" x14ac:dyDescent="0.3">
      <c r="B12" s="5">
        <v>44264</v>
      </c>
      <c r="C12" t="s">
        <v>52</v>
      </c>
      <c r="D12" t="s">
        <v>49</v>
      </c>
      <c r="E12">
        <v>23851</v>
      </c>
      <c r="F12">
        <v>116.46</v>
      </c>
    </row>
    <row r="13" spans="2:6" x14ac:dyDescent="0.3">
      <c r="B13" s="5">
        <v>44264</v>
      </c>
      <c r="C13" t="s">
        <v>52</v>
      </c>
      <c r="D13" t="s">
        <v>66</v>
      </c>
      <c r="E13">
        <v>66621</v>
      </c>
      <c r="F13">
        <v>617.78</v>
      </c>
    </row>
    <row r="14" spans="2:6" x14ac:dyDescent="0.3">
      <c r="B14" s="5">
        <v>44267</v>
      </c>
      <c r="C14" t="s">
        <v>34</v>
      </c>
      <c r="D14" t="s">
        <v>36</v>
      </c>
      <c r="E14">
        <v>22052</v>
      </c>
      <c r="F14">
        <v>1136.22</v>
      </c>
    </row>
    <row r="15" spans="2:6" x14ac:dyDescent="0.3">
      <c r="B15" s="5">
        <v>44267</v>
      </c>
      <c r="C15" t="s">
        <v>52</v>
      </c>
      <c r="D15" t="s">
        <v>36</v>
      </c>
      <c r="E15">
        <v>22052</v>
      </c>
      <c r="F15">
        <v>559.94000000000005</v>
      </c>
    </row>
    <row r="16" spans="2:6" x14ac:dyDescent="0.3">
      <c r="B16" s="5">
        <v>44267</v>
      </c>
      <c r="C16" t="s">
        <v>35</v>
      </c>
      <c r="D16" t="s">
        <v>65</v>
      </c>
      <c r="E16">
        <v>6446</v>
      </c>
      <c r="F16">
        <v>1219.8900000000001</v>
      </c>
    </row>
    <row r="17" spans="2:6" x14ac:dyDescent="0.3">
      <c r="B17" s="5">
        <v>44267</v>
      </c>
      <c r="C17" t="s">
        <v>40</v>
      </c>
      <c r="D17" t="s">
        <v>36</v>
      </c>
      <c r="E17">
        <v>22052</v>
      </c>
      <c r="F17">
        <v>391.31</v>
      </c>
    </row>
    <row r="18" spans="2:6" x14ac:dyDescent="0.3">
      <c r="B18" s="5">
        <v>44269</v>
      </c>
      <c r="C18" t="s">
        <v>42</v>
      </c>
      <c r="D18" t="s">
        <v>19</v>
      </c>
      <c r="E18">
        <v>17322</v>
      </c>
      <c r="F18">
        <v>321.3</v>
      </c>
    </row>
    <row r="19" spans="2:6" x14ac:dyDescent="0.3">
      <c r="B19" s="5">
        <v>44269</v>
      </c>
      <c r="C19" t="s">
        <v>35</v>
      </c>
      <c r="D19" t="s">
        <v>56</v>
      </c>
      <c r="E19">
        <v>72118</v>
      </c>
      <c r="F19">
        <v>1212.8</v>
      </c>
    </row>
    <row r="20" spans="2:6" x14ac:dyDescent="0.3">
      <c r="B20" s="5">
        <v>44269</v>
      </c>
      <c r="C20" t="s">
        <v>52</v>
      </c>
      <c r="D20" t="s">
        <v>21</v>
      </c>
      <c r="E20">
        <v>32703</v>
      </c>
      <c r="F20">
        <v>1066.2</v>
      </c>
    </row>
    <row r="21" spans="2:6" x14ac:dyDescent="0.3">
      <c r="B21" s="5">
        <v>44270</v>
      </c>
      <c r="C21" t="s">
        <v>40</v>
      </c>
      <c r="D21" t="s">
        <v>28</v>
      </c>
      <c r="E21">
        <v>52521</v>
      </c>
      <c r="F21">
        <v>1153.1400000000001</v>
      </c>
    </row>
    <row r="22" spans="2:6" x14ac:dyDescent="0.3">
      <c r="B22" s="5">
        <v>44270</v>
      </c>
      <c r="C22" t="s">
        <v>44</v>
      </c>
      <c r="D22" t="s">
        <v>30</v>
      </c>
      <c r="E22">
        <v>34009</v>
      </c>
      <c r="F22">
        <v>1025.95</v>
      </c>
    </row>
    <row r="23" spans="2:6" x14ac:dyDescent="0.3">
      <c r="B23" s="5">
        <v>44270</v>
      </c>
      <c r="C23" t="s">
        <v>34</v>
      </c>
      <c r="D23" t="s">
        <v>65</v>
      </c>
      <c r="E23">
        <v>6446</v>
      </c>
      <c r="F23">
        <v>190.78</v>
      </c>
    </row>
    <row r="24" spans="2:6" x14ac:dyDescent="0.3">
      <c r="B24" s="5">
        <v>44271</v>
      </c>
      <c r="C24" t="s">
        <v>42</v>
      </c>
      <c r="D24" t="s">
        <v>46</v>
      </c>
      <c r="E24">
        <v>34642</v>
      </c>
      <c r="F24">
        <v>477.83</v>
      </c>
    </row>
    <row r="25" spans="2:6" x14ac:dyDescent="0.3">
      <c r="B25" s="5">
        <v>44271</v>
      </c>
      <c r="C25" t="s">
        <v>40</v>
      </c>
      <c r="D25" t="s">
        <v>13</v>
      </c>
      <c r="E25">
        <v>22875</v>
      </c>
      <c r="F25">
        <v>571.30999999999995</v>
      </c>
    </row>
    <row r="26" spans="2:6" x14ac:dyDescent="0.3">
      <c r="B26" s="5">
        <v>44271</v>
      </c>
      <c r="C26" t="s">
        <v>42</v>
      </c>
      <c r="D26" t="s">
        <v>53</v>
      </c>
      <c r="E26">
        <v>89747</v>
      </c>
      <c r="F26">
        <v>991.06</v>
      </c>
    </row>
    <row r="27" spans="2:6" x14ac:dyDescent="0.3">
      <c r="B27" s="5">
        <v>44272</v>
      </c>
      <c r="C27" t="s">
        <v>42</v>
      </c>
      <c r="D27" t="s">
        <v>65</v>
      </c>
      <c r="E27">
        <v>6446</v>
      </c>
      <c r="F27">
        <v>633.29</v>
      </c>
    </row>
    <row r="28" spans="2:6" x14ac:dyDescent="0.3">
      <c r="B28" s="5">
        <v>44272</v>
      </c>
      <c r="C28" t="s">
        <v>52</v>
      </c>
      <c r="D28" t="s">
        <v>65</v>
      </c>
      <c r="E28">
        <v>6446</v>
      </c>
      <c r="F28">
        <v>478.36</v>
      </c>
    </row>
    <row r="29" spans="2:6" x14ac:dyDescent="0.3">
      <c r="B29" s="5">
        <v>44273</v>
      </c>
      <c r="C29" t="s">
        <v>34</v>
      </c>
      <c r="D29" t="s">
        <v>46</v>
      </c>
      <c r="E29">
        <v>34642</v>
      </c>
      <c r="F29">
        <v>1138.93</v>
      </c>
    </row>
    <row r="30" spans="2:6" x14ac:dyDescent="0.3">
      <c r="B30" s="5">
        <v>44274</v>
      </c>
      <c r="C30" t="s">
        <v>35</v>
      </c>
      <c r="D30" t="s">
        <v>64</v>
      </c>
      <c r="E30">
        <v>9629</v>
      </c>
      <c r="F30">
        <v>720.52</v>
      </c>
    </row>
    <row r="31" spans="2:6" x14ac:dyDescent="0.3">
      <c r="B31" s="5">
        <v>44274</v>
      </c>
      <c r="C31" t="s">
        <v>42</v>
      </c>
      <c r="D31" t="s">
        <v>63</v>
      </c>
      <c r="E31">
        <v>92098</v>
      </c>
      <c r="F31">
        <v>522.58000000000004</v>
      </c>
    </row>
    <row r="32" spans="2:6" x14ac:dyDescent="0.3">
      <c r="B32" s="5">
        <v>44275</v>
      </c>
      <c r="C32" t="s">
        <v>34</v>
      </c>
      <c r="D32" t="s">
        <v>47</v>
      </c>
      <c r="E32">
        <v>23709</v>
      </c>
      <c r="F32">
        <v>374.9</v>
      </c>
    </row>
    <row r="33" spans="2:6" x14ac:dyDescent="0.3">
      <c r="B33" s="5">
        <v>44276</v>
      </c>
      <c r="C33" t="s">
        <v>42</v>
      </c>
      <c r="D33" t="s">
        <v>41</v>
      </c>
      <c r="E33">
        <v>67638</v>
      </c>
      <c r="F33">
        <v>1129.47</v>
      </c>
    </row>
    <row r="34" spans="2:6" x14ac:dyDescent="0.3">
      <c r="B34" s="5">
        <v>44277</v>
      </c>
      <c r="C34" t="s">
        <v>35</v>
      </c>
      <c r="D34" t="s">
        <v>43</v>
      </c>
      <c r="E34">
        <v>104040</v>
      </c>
      <c r="F34">
        <v>105.64</v>
      </c>
    </row>
    <row r="35" spans="2:6" x14ac:dyDescent="0.3">
      <c r="B35" s="5">
        <v>44277</v>
      </c>
      <c r="C35" t="s">
        <v>34</v>
      </c>
      <c r="D35" t="s">
        <v>24</v>
      </c>
      <c r="E35">
        <v>102799</v>
      </c>
      <c r="F35">
        <v>920.65</v>
      </c>
    </row>
    <row r="36" spans="2:6" x14ac:dyDescent="0.3">
      <c r="B36" s="5">
        <v>44277</v>
      </c>
      <c r="C36" t="s">
        <v>40</v>
      </c>
      <c r="D36" t="s">
        <v>63</v>
      </c>
      <c r="E36">
        <v>92098</v>
      </c>
      <c r="F36">
        <v>105.02</v>
      </c>
    </row>
    <row r="37" spans="2:6" x14ac:dyDescent="0.3">
      <c r="B37" s="5">
        <v>44277</v>
      </c>
      <c r="C37" t="s">
        <v>44</v>
      </c>
      <c r="D37" t="s">
        <v>60</v>
      </c>
      <c r="E37">
        <v>102697</v>
      </c>
      <c r="F37">
        <v>278.67</v>
      </c>
    </row>
    <row r="38" spans="2:6" x14ac:dyDescent="0.3">
      <c r="B38" s="5">
        <v>44277</v>
      </c>
      <c r="C38" t="s">
        <v>52</v>
      </c>
      <c r="D38" t="s">
        <v>15</v>
      </c>
      <c r="E38">
        <v>29826</v>
      </c>
      <c r="F38">
        <v>437.36</v>
      </c>
    </row>
    <row r="39" spans="2:6" x14ac:dyDescent="0.3">
      <c r="B39" s="5">
        <v>44277</v>
      </c>
      <c r="C39" t="s">
        <v>35</v>
      </c>
      <c r="D39" t="s">
        <v>21</v>
      </c>
      <c r="E39">
        <v>32703</v>
      </c>
      <c r="F39">
        <v>999.25</v>
      </c>
    </row>
    <row r="40" spans="2:6" x14ac:dyDescent="0.3">
      <c r="B40" s="5">
        <v>44278</v>
      </c>
      <c r="C40" t="s">
        <v>34</v>
      </c>
      <c r="D40" t="s">
        <v>26</v>
      </c>
      <c r="E40">
        <v>47864</v>
      </c>
      <c r="F40">
        <v>238.83</v>
      </c>
    </row>
    <row r="41" spans="2:6" x14ac:dyDescent="0.3">
      <c r="B41" s="5">
        <v>44279</v>
      </c>
      <c r="C41" t="s">
        <v>34</v>
      </c>
      <c r="D41" t="s">
        <v>13</v>
      </c>
      <c r="E41">
        <v>22875</v>
      </c>
      <c r="F41">
        <v>71.989999999999995</v>
      </c>
    </row>
    <row r="42" spans="2:6" x14ac:dyDescent="0.3">
      <c r="B42" s="5">
        <v>44280</v>
      </c>
      <c r="C42" t="s">
        <v>40</v>
      </c>
      <c r="D42" t="s">
        <v>41</v>
      </c>
      <c r="E42">
        <v>67638</v>
      </c>
      <c r="F42">
        <v>760.51</v>
      </c>
    </row>
    <row r="43" spans="2:6" x14ac:dyDescent="0.3">
      <c r="B43" s="5">
        <v>44282</v>
      </c>
      <c r="C43" t="s">
        <v>52</v>
      </c>
      <c r="D43" t="s">
        <v>47</v>
      </c>
      <c r="E43">
        <v>23709</v>
      </c>
      <c r="F43">
        <v>739.3</v>
      </c>
    </row>
    <row r="44" spans="2:6" x14ac:dyDescent="0.3">
      <c r="B44" s="5">
        <v>44282</v>
      </c>
      <c r="C44" t="s">
        <v>52</v>
      </c>
      <c r="D44" t="s">
        <v>17</v>
      </c>
      <c r="E44">
        <v>60762</v>
      </c>
      <c r="F44">
        <v>177.49</v>
      </c>
    </row>
    <row r="45" spans="2:6" x14ac:dyDescent="0.3">
      <c r="B45" s="5">
        <v>44284</v>
      </c>
      <c r="C45" t="s">
        <v>35</v>
      </c>
      <c r="D45" t="s">
        <v>13</v>
      </c>
      <c r="E45">
        <v>22875</v>
      </c>
      <c r="F45">
        <v>459.21</v>
      </c>
    </row>
    <row r="46" spans="2:6" x14ac:dyDescent="0.3">
      <c r="B46" s="5">
        <v>44284</v>
      </c>
      <c r="C46" t="s">
        <v>52</v>
      </c>
      <c r="D46" t="s">
        <v>30</v>
      </c>
      <c r="E46">
        <v>34009</v>
      </c>
      <c r="F46">
        <v>711.84</v>
      </c>
    </row>
    <row r="47" spans="2:6" x14ac:dyDescent="0.3">
      <c r="B47" s="5">
        <v>44285</v>
      </c>
      <c r="C47" t="s">
        <v>42</v>
      </c>
      <c r="D47" t="s">
        <v>15</v>
      </c>
      <c r="E47">
        <v>29826</v>
      </c>
      <c r="F47">
        <v>73.819999999999993</v>
      </c>
    </row>
    <row r="48" spans="2:6" x14ac:dyDescent="0.3">
      <c r="B48" s="5">
        <v>44286</v>
      </c>
      <c r="C48" t="s">
        <v>40</v>
      </c>
      <c r="D48" t="s">
        <v>15</v>
      </c>
      <c r="E48">
        <v>29826</v>
      </c>
      <c r="F48">
        <v>865.05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F16936EA-2DC3-4171-9FEA-1572B425B472}">
  <ds:schemaRefs/>
</ds:datastoreItem>
</file>

<file path=customXml/itemProps2.xml><?xml version="1.0" encoding="utf-8"?>
<ds:datastoreItem xmlns:ds="http://schemas.openxmlformats.org/officeDocument/2006/customXml" ds:itemID="{0EBAAC5A-A88E-4ACD-BBE4-D8D30D4D2712}">
  <ds:schemaRefs/>
</ds:datastoreItem>
</file>

<file path=customXml/itemProps3.xml><?xml version="1.0" encoding="utf-8"?>
<ds:datastoreItem xmlns:ds="http://schemas.openxmlformats.org/officeDocument/2006/customXml" ds:itemID="{BFA6B552-1573-45BE-88D3-2CCD0099DAAD}">
  <ds:schemaRefs/>
</ds:datastoreItem>
</file>

<file path=customXml/itemProps4.xml><?xml version="1.0" encoding="utf-8"?>
<ds:datastoreItem xmlns:ds="http://schemas.openxmlformats.org/officeDocument/2006/customXml" ds:itemID="{5D2CBC23-D6D1-4873-869F-5FDD36E3D0C9}">
  <ds:schemaRefs/>
</ds:datastoreItem>
</file>

<file path=customXml/itemProps5.xml><?xml version="1.0" encoding="utf-8"?>
<ds:datastoreItem xmlns:ds="http://schemas.openxmlformats.org/officeDocument/2006/customXml" ds:itemID="{43041AF8-2A8F-467F-B077-316185CF6AF1}">
  <ds:schemaRefs/>
</ds:datastoreItem>
</file>

<file path=customXml/itemProps6.xml><?xml version="1.0" encoding="utf-8"?>
<ds:datastoreItem xmlns:ds="http://schemas.openxmlformats.org/officeDocument/2006/customXml" ds:itemID="{CAE2128B-3B80-41D2-A8E0-FA6C3EF02049}">
  <ds:schemaRefs/>
</ds:datastoreItem>
</file>

<file path=customXml/itemProps7.xml><?xml version="1.0" encoding="utf-8"?>
<ds:datastoreItem xmlns:ds="http://schemas.openxmlformats.org/officeDocument/2006/customXml" ds:itemID="{352C1315-A52E-47F3-8CD8-1D3012B7F528}">
  <ds:schemaRefs/>
</ds:datastoreItem>
</file>

<file path=customXml/itemProps8.xml><?xml version="1.0" encoding="utf-8"?>
<ds:datastoreItem xmlns:ds="http://schemas.openxmlformats.org/officeDocument/2006/customXml" ds:itemID="{E591C095-9440-4B7B-A741-4FEB6C5FDF61}">
  <ds:schemaRefs/>
</ds:datastoreItem>
</file>

<file path=customXml/itemProps9.xml><?xml version="1.0" encoding="utf-8"?>
<ds:datastoreItem xmlns:ds="http://schemas.openxmlformats.org/officeDocument/2006/customXml" ds:itemID="{2DC7EDC3-B0FD-42C7-9E1F-6C2EB8D464D6}">
  <ds:schemaRefs/>
</ds:datastoreItem>
</file>

<file path=customXml/itemProps10.xml><?xml version="1.0" encoding="utf-8"?>
<ds:datastoreItem xmlns:ds="http://schemas.openxmlformats.org/officeDocument/2006/customXml" ds:itemID="{B498573B-65EF-4E34-B38B-76F3864138AB}">
  <ds:schemaRefs/>
</ds:datastoreItem>
</file>

<file path=customXml/itemProps11.xml><?xml version="1.0" encoding="utf-8"?>
<ds:datastoreItem xmlns:ds="http://schemas.openxmlformats.org/officeDocument/2006/customXml" ds:itemID="{570EF8EA-AEC5-4ADD-A984-281509F6573B}">
  <ds:schemaRefs/>
</ds:datastoreItem>
</file>

<file path=customXml/itemProps12.xml><?xml version="1.0" encoding="utf-8"?>
<ds:datastoreItem xmlns:ds="http://schemas.openxmlformats.org/officeDocument/2006/customXml" ds:itemID="{8F356E28-ED84-4CFA-BB3E-AB34708DAEC6}">
  <ds:schemaRefs/>
</ds:datastoreItem>
</file>

<file path=customXml/itemProps13.xml><?xml version="1.0" encoding="utf-8"?>
<ds:datastoreItem xmlns:ds="http://schemas.openxmlformats.org/officeDocument/2006/customXml" ds:itemID="{1DFC7394-0547-4301-B808-392B3AD3B842}">
  <ds:schemaRefs/>
</ds:datastoreItem>
</file>

<file path=customXml/itemProps14.xml><?xml version="1.0" encoding="utf-8"?>
<ds:datastoreItem xmlns:ds="http://schemas.openxmlformats.org/officeDocument/2006/customXml" ds:itemID="{A03681E2-59AB-490C-92F4-9CAEBCAEF83D}">
  <ds:schemaRefs/>
</ds:datastoreItem>
</file>

<file path=customXml/itemProps15.xml><?xml version="1.0" encoding="utf-8"?>
<ds:datastoreItem xmlns:ds="http://schemas.openxmlformats.org/officeDocument/2006/customXml" ds:itemID="{310F77A5-2408-4A06-8295-059EA9C86807}">
  <ds:schemaRefs/>
</ds:datastoreItem>
</file>

<file path=customXml/itemProps16.xml><?xml version="1.0" encoding="utf-8"?>
<ds:datastoreItem xmlns:ds="http://schemas.openxmlformats.org/officeDocument/2006/customXml" ds:itemID="{C56A2712-5E3B-41FA-B0F7-F90B581DAC59}">
  <ds:schemaRefs/>
</ds:datastoreItem>
</file>

<file path=customXml/itemProps17.xml><?xml version="1.0" encoding="utf-8"?>
<ds:datastoreItem xmlns:ds="http://schemas.openxmlformats.org/officeDocument/2006/customXml" ds:itemID="{A7D887C6-006E-4FA3-8FF3-41E871F6065B}">
  <ds:schemaRefs/>
</ds:datastoreItem>
</file>

<file path=customXml/itemProps18.xml><?xml version="1.0" encoding="utf-8"?>
<ds:datastoreItem xmlns:ds="http://schemas.openxmlformats.org/officeDocument/2006/customXml" ds:itemID="{151574C9-EF8D-4644-B940-AB8265F962A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30</vt:i4>
      </vt:variant>
    </vt:vector>
  </HeadingPairs>
  <TitlesOfParts>
    <vt:vector size="30" baseType="lpstr">
      <vt:lpstr>Build Dashboard</vt:lpstr>
      <vt:lpstr>Dashboard</vt:lpstr>
      <vt:lpstr>Sheet Names</vt:lpstr>
      <vt:lpstr>19(1)</vt:lpstr>
      <vt:lpstr>19(2)</vt:lpstr>
      <vt:lpstr>19(3)</vt:lpstr>
      <vt:lpstr>19(4)</vt:lpstr>
      <vt:lpstr>19(5)</vt:lpstr>
      <vt:lpstr>19(6)</vt:lpstr>
      <vt:lpstr>19(7)</vt:lpstr>
      <vt:lpstr>19(8)</vt:lpstr>
      <vt:lpstr>19(9)</vt:lpstr>
      <vt:lpstr>19(10)</vt:lpstr>
      <vt:lpstr>19(11)</vt:lpstr>
      <vt:lpstr>19(12)</vt:lpstr>
      <vt:lpstr>20(1)</vt:lpstr>
      <vt:lpstr>20(2)</vt:lpstr>
      <vt:lpstr>20(3)</vt:lpstr>
      <vt:lpstr>20(4)</vt:lpstr>
      <vt:lpstr>20(5)</vt:lpstr>
      <vt:lpstr>20(6)</vt:lpstr>
      <vt:lpstr>20(7)</vt:lpstr>
      <vt:lpstr>20(8)</vt:lpstr>
      <vt:lpstr>20(9)</vt:lpstr>
      <vt:lpstr>20(10)</vt:lpstr>
      <vt:lpstr>20(11)</vt:lpstr>
      <vt:lpstr>20(12)</vt:lpstr>
      <vt:lpstr>21(1)</vt:lpstr>
      <vt:lpstr>21(2)</vt:lpstr>
      <vt:lpstr>21(3)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isaac bmxbase</dc:creator>
  <cp:lastModifiedBy>Acer</cp:lastModifiedBy>
  <dcterms:created xsi:type="dcterms:W3CDTF">2006-09-16T00:00:00Z</dcterms:created>
  <dcterms:modified xsi:type="dcterms:W3CDTF">2022-08-30T04:22:30Z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2c1eaa52-20b4-4c43-9b29-5fe1cee884a9</vt:lpwstr>
  </property>
</Properties>
</file>